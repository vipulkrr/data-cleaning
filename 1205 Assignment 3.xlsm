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HP\Desktop\INTERNSHIP\ASSIGNMENT\3\"/>
    </mc:Choice>
  </mc:AlternateContent>
  <bookViews>
    <workbookView xWindow="0" yWindow="0" windowWidth="15345" windowHeight="4545" firstSheet="1" activeTab="1"/>
  </bookViews>
  <sheets>
    <sheet name="Unmessenger" sheetId="1" r:id="rId1"/>
    <sheet name="filling name" sheetId="2" r:id="rId2"/>
    <sheet name="missing age" sheetId="10" r:id="rId3"/>
    <sheet name="formate phone" sheetId="11" r:id="rId4"/>
    <sheet name="deleted row" sheetId="12" r:id="rId5"/>
    <sheet name="top 10" sheetId="13" r:id="rId6"/>
    <sheet name="Email fill" sheetId="14" r:id="rId7"/>
    <sheet name="wrong spell" sheetId="15" r:id="rId8"/>
    <sheet name="Address not available" sheetId="16" r:id="rId9"/>
  </sheets>
  <calcPr calcId="162913"/>
  <extLst>
    <ext uri="GoogleSheetsCustomDataVersion2">
      <go:sheetsCustomData xmlns:go="http://customooxmlschemas.google.com/" r:id="rId10" roundtripDataChecksum="2WrwPzVBFsfif2q99uHOlLxATm3svI7SxCkGZSGnM3U="/>
    </ext>
  </extLst>
</workbook>
</file>

<file path=xl/calcChain.xml><?xml version="1.0" encoding="utf-8"?>
<calcChain xmlns="http://schemas.openxmlformats.org/spreadsheetml/2006/main">
  <c r="G50" i="13" l="1"/>
  <c r="G49" i="13"/>
  <c r="G47" i="13"/>
  <c r="G46" i="13"/>
  <c r="G44" i="13"/>
  <c r="G42" i="13"/>
  <c r="G40" i="13"/>
  <c r="G39" i="13"/>
  <c r="G37" i="13"/>
  <c r="G36" i="13"/>
  <c r="G34" i="13"/>
  <c r="G32" i="13"/>
  <c r="G30" i="13"/>
  <c r="G29" i="13"/>
  <c r="G28" i="13"/>
  <c r="G26" i="13"/>
  <c r="G24" i="13"/>
  <c r="G23" i="13"/>
  <c r="G21" i="13"/>
  <c r="G20" i="13"/>
  <c r="G19" i="13"/>
  <c r="G18" i="13"/>
  <c r="G17" i="13"/>
  <c r="G16" i="13"/>
  <c r="G14" i="13"/>
  <c r="G13" i="13"/>
  <c r="G12" i="13"/>
  <c r="G10" i="13"/>
  <c r="G9" i="13"/>
  <c r="G43" i="12"/>
  <c r="B42" i="12"/>
  <c r="G41" i="12"/>
  <c r="G40" i="12"/>
  <c r="B39" i="12"/>
  <c r="G38" i="12"/>
  <c r="G36" i="12"/>
  <c r="G34" i="12"/>
  <c r="G33" i="12"/>
  <c r="B32" i="12"/>
  <c r="G31" i="12"/>
  <c r="G29" i="12"/>
  <c r="B29" i="12"/>
  <c r="G27" i="12"/>
  <c r="B26" i="12"/>
  <c r="G25" i="12"/>
  <c r="G24" i="12"/>
  <c r="G23" i="12"/>
  <c r="G20" i="12"/>
  <c r="G18" i="12"/>
  <c r="B18" i="12"/>
  <c r="G17" i="12"/>
  <c r="G16" i="12"/>
  <c r="G15" i="12"/>
  <c r="G14" i="12"/>
  <c r="G13" i="12"/>
  <c r="B13" i="12"/>
  <c r="G11" i="12"/>
  <c r="B10" i="12"/>
  <c r="G9" i="12"/>
  <c r="G8" i="12"/>
  <c r="B6" i="12"/>
  <c r="G6" i="11"/>
  <c r="G7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C12" i="10"/>
  <c r="C26" i="10"/>
  <c r="C36" i="10"/>
  <c r="C50" i="10"/>
  <c r="B6" i="2" l="1"/>
  <c r="B11" i="2"/>
  <c r="B14" i="2"/>
  <c r="B16" i="2"/>
  <c r="B21" i="2"/>
  <c r="B24" i="2"/>
  <c r="B31" i="2"/>
  <c r="B34" i="2"/>
  <c r="B38" i="2"/>
  <c r="B45" i="2"/>
  <c r="B48" i="2"/>
  <c r="G50" i="16" l="1"/>
  <c r="G49" i="16"/>
  <c r="G47" i="16"/>
  <c r="G46" i="16"/>
  <c r="G44" i="16"/>
  <c r="G42" i="16"/>
  <c r="G40" i="16"/>
  <c r="G39" i="16"/>
  <c r="G37" i="16"/>
  <c r="G36" i="16"/>
  <c r="G34" i="16"/>
  <c r="G32" i="16"/>
  <c r="G30" i="16"/>
  <c r="G29" i="16"/>
  <c r="G28" i="16"/>
  <c r="G26" i="16"/>
  <c r="G24" i="16"/>
  <c r="G23" i="16"/>
  <c r="G21" i="16"/>
  <c r="G20" i="16"/>
  <c r="G19" i="16"/>
  <c r="G18" i="16"/>
  <c r="G17" i="16"/>
  <c r="G16" i="16"/>
  <c r="G14" i="16"/>
  <c r="G13" i="16"/>
  <c r="G12" i="16"/>
  <c r="G10" i="16"/>
  <c r="G9" i="16"/>
  <c r="G50" i="15"/>
  <c r="G49" i="15"/>
  <c r="G47" i="15"/>
  <c r="G46" i="15"/>
  <c r="G44" i="15"/>
  <c r="G42" i="15"/>
  <c r="G40" i="15"/>
  <c r="G39" i="15"/>
  <c r="G37" i="15"/>
  <c r="G36" i="15"/>
  <c r="G34" i="15"/>
  <c r="G32" i="15"/>
  <c r="G30" i="15"/>
  <c r="G29" i="15"/>
  <c r="G28" i="15"/>
  <c r="G26" i="15"/>
  <c r="G24" i="15"/>
  <c r="G23" i="15"/>
  <c r="G21" i="15"/>
  <c r="G20" i="15"/>
  <c r="G19" i="15"/>
  <c r="G18" i="15"/>
  <c r="G17" i="15"/>
  <c r="G16" i="15"/>
  <c r="G14" i="15"/>
  <c r="G13" i="15"/>
  <c r="G12" i="15"/>
  <c r="G10" i="15"/>
  <c r="G9" i="15"/>
  <c r="G50" i="14"/>
  <c r="G49" i="14"/>
  <c r="G47" i="14"/>
  <c r="G46" i="14"/>
  <c r="G44" i="14"/>
  <c r="G42" i="14"/>
  <c r="G40" i="14"/>
  <c r="G39" i="14"/>
  <c r="G37" i="14"/>
  <c r="G36" i="14"/>
  <c r="G34" i="14"/>
  <c r="G32" i="14"/>
  <c r="G30" i="14"/>
  <c r="G29" i="14"/>
  <c r="G28" i="14"/>
  <c r="G26" i="14"/>
  <c r="G24" i="14"/>
  <c r="G23" i="14"/>
  <c r="G21" i="14"/>
  <c r="G20" i="14"/>
  <c r="G19" i="14"/>
  <c r="G18" i="14"/>
  <c r="G17" i="14"/>
  <c r="G16" i="14"/>
  <c r="G14" i="14"/>
  <c r="G13" i="14"/>
  <c r="G12" i="14"/>
  <c r="G10" i="14"/>
  <c r="G9" i="14"/>
  <c r="G50" i="10"/>
  <c r="G49" i="10"/>
  <c r="G47" i="10"/>
  <c r="G46" i="10"/>
  <c r="G44" i="10"/>
  <c r="G42" i="10"/>
  <c r="G40" i="10"/>
  <c r="G39" i="10"/>
  <c r="G37" i="10"/>
  <c r="G36" i="10"/>
  <c r="G34" i="10"/>
  <c r="G32" i="10"/>
  <c r="G30" i="10"/>
  <c r="G29" i="10"/>
  <c r="G28" i="10"/>
  <c r="G26" i="10"/>
  <c r="G24" i="10"/>
  <c r="G23" i="10"/>
  <c r="G21" i="10"/>
  <c r="G20" i="10"/>
  <c r="G19" i="10"/>
  <c r="G18" i="10"/>
  <c r="G17" i="10"/>
  <c r="G16" i="10"/>
  <c r="G14" i="10"/>
  <c r="G13" i="10"/>
  <c r="G12" i="10"/>
  <c r="G10" i="10"/>
  <c r="G9" i="10"/>
  <c r="G50" i="2" l="1"/>
  <c r="G49" i="2"/>
  <c r="G47" i="2"/>
  <c r="G46" i="2"/>
  <c r="G44" i="2"/>
  <c r="G42" i="2"/>
  <c r="G40" i="2"/>
  <c r="G39" i="2"/>
  <c r="G37" i="2"/>
  <c r="G36" i="2"/>
  <c r="G34" i="2"/>
  <c r="G32" i="2"/>
  <c r="G30" i="2"/>
  <c r="G29" i="2"/>
  <c r="G28" i="2"/>
  <c r="G26" i="2"/>
  <c r="G24" i="2"/>
  <c r="G23" i="2"/>
  <c r="G21" i="2"/>
  <c r="G20" i="2"/>
  <c r="G19" i="2"/>
  <c r="G18" i="2"/>
  <c r="G17" i="2"/>
  <c r="G16" i="2"/>
  <c r="G14" i="2"/>
  <c r="G13" i="2"/>
  <c r="G12" i="2"/>
  <c r="G10" i="2"/>
  <c r="G9" i="2"/>
  <c r="K56" i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<sst xmlns="http://schemas.openxmlformats.org/spreadsheetml/2006/main" count="2267" uniqueCount="224">
  <si>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</si>
  <si>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</si>
  <si>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</si>
  <si>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</si>
  <si>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</si>
  <si>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</si>
  <si>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</si>
  <si>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</si>
  <si>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</si>
  <si>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John Doe</t>
  </si>
  <si>
    <t>M</t>
  </si>
  <si>
    <t>Operations</t>
  </si>
  <si>
    <t>john.doe@gmail.com</t>
  </si>
  <si>
    <t>91-1234567890</t>
  </si>
  <si>
    <t>123 Main St, Bangalore, Karnataka, India</t>
  </si>
  <si>
    <t>Jane Smith</t>
  </si>
  <si>
    <t>F</t>
  </si>
  <si>
    <t>IT Department</t>
  </si>
  <si>
    <t>jane.smith@hotmail.com</t>
  </si>
  <si>
    <t>91-9876543210</t>
  </si>
  <si>
    <t>456 Park Ave, Mumbai, Maharashtra, India</t>
  </si>
  <si>
    <t>Amit Patel</t>
  </si>
  <si>
    <t>IT DeVlopemENT</t>
  </si>
  <si>
    <t>amit.patel@gmail.com</t>
  </si>
  <si>
    <t>91-8765432109</t>
  </si>
  <si>
    <t>789 3rd St, Kolkata, West Bengal, India</t>
  </si>
  <si>
    <t>Priya Sharma</t>
  </si>
  <si>
    <t>SALES</t>
  </si>
  <si>
    <t>priya.sharma@yahoo.com</t>
  </si>
  <si>
    <t>91-5555555555</t>
  </si>
  <si>
    <t>12 4th St, New Delhi, Delhi, India</t>
  </si>
  <si>
    <t>SLES</t>
  </si>
  <si>
    <t>jane.doe@gmail.com</t>
  </si>
  <si>
    <t>Rakesh Kumar</t>
  </si>
  <si>
    <t>DaTa SciENce</t>
  </si>
  <si>
    <t>rakesh.kumar@yahoo.com</t>
  </si>
  <si>
    <t>345 5th St, Jaipur, Rajasthan, India</t>
  </si>
  <si>
    <t>Divya Singh</t>
  </si>
  <si>
    <t>91-9999999999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</si>
  <si>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</si>
  <si>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</si>
  <si>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</si>
  <si>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</si>
  <si>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</si>
  <si>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</si>
  <si>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</si>
  <si>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</si>
  <si>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</si>
  <si>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</si>
  <si>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</si>
  <si>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</si>
  <si>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</si>
  <si>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</si>
  <si>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Sales</t>
  </si>
  <si>
    <t>321 11th St, Mumbai, Maharashtra, India</t>
  </si>
  <si>
    <t>Swati Singh</t>
  </si>
  <si>
    <t>HR</t>
  </si>
  <si>
    <t>swati.singh@gmail.com</t>
  </si>
  <si>
    <t>654 12th St, Kolkata, West Bengal, India</t>
  </si>
  <si>
    <t>Finance/Accounts</t>
  </si>
  <si>
    <t>kavita.sharma@yahoo.com</t>
  </si>
  <si>
    <t>Manish Patel</t>
  </si>
  <si>
    <t>Mangement</t>
  </si>
  <si>
    <t>manish.patel@hotmail.com</t>
  </si>
  <si>
    <t>987 13th St, New Delhi, Delhi, India</t>
  </si>
  <si>
    <t>Priyanka Jain</t>
  </si>
  <si>
    <t>Data Science</t>
  </si>
  <si>
    <t>priyanka.jain@yahoo.com</t>
  </si>
  <si>
    <t>Rohit Sharma</t>
  </si>
  <si>
    <t>rohit.sharma@gmail.com</t>
  </si>
  <si>
    <t>654 14th St, Jaipur, Rajasthan, India</t>
  </si>
  <si>
    <t>Deepika Singh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</si>
  <si>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</si>
  <si>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</si>
  <si>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</si>
  <si>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</si>
  <si>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</si>
  <si>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</si>
  <si>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</si>
  <si>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</si>
  <si>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</si>
  <si>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</si>
  <si>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</si>
  <si>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</si>
  <si>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91-6666666666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</si>
  <si>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</si>
  <si>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</si>
  <si>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</si>
  <si>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</si>
  <si>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</si>
  <si>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</si>
  <si>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</si>
  <si>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</si>
  <si>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</si>
  <si>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</si>
  <si>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</si>
  <si>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</si>
  <si>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</si>
  <si>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</si>
  <si>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</si>
  <si>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</si>
  <si>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</si>
  <si>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</si>
  <si>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</si>
  <si>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</si>
  <si>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</si>
  <si>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</si>
  <si>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</si>
  <si>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</si>
  <si>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</si>
  <si>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</si>
  <si>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</si>
  <si>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</si>
  <si>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</si>
  <si>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</si>
  <si>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</si>
  <si>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</si>
  <si>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</si>
  <si>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</si>
  <si>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</si>
  <si>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hR</t>
  </si>
  <si>
    <t>mohit.verma@yahoo.com</t>
  </si>
  <si>
    <t>789 31st St, Mumbai, Maharashtra, India</t>
  </si>
  <si>
    <t>Kavita Singh</t>
  </si>
  <si>
    <t>Hr</t>
  </si>
  <si>
    <t>kavita.singh@hotmail.com</t>
  </si>
  <si>
    <t>901 32nd St, Kolkata, West Bengal, India</t>
  </si>
  <si>
    <t>Ankit Patel</t>
  </si>
  <si>
    <t>OperarYION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</si>
  <si>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</si>
  <si>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</si>
  <si>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</si>
  <si>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</si>
  <si>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</si>
  <si>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</si>
  <si>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</si>
  <si>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</si>
  <si>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</si>
  <si>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</si>
  <si>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</si>
  <si>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</si>
  <si>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</si>
  <si>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</si>
  <si>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</si>
  <si>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</si>
  <si>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</si>
  <si>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</si>
  <si>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</si>
  <si>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</si>
  <si>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</si>
  <si>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</si>
  <si>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</si>
  <si>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</si>
  <si>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</si>
  <si>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</si>
  <si>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</si>
  <si>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</si>
  <si>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</si>
  <si>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name2</t>
  </si>
  <si>
    <t>john.doe</t>
  </si>
  <si>
    <t>jane.smith</t>
  </si>
  <si>
    <t>amit.patel</t>
  </si>
  <si>
    <t>priya.sharma</t>
  </si>
  <si>
    <t>jane.doe</t>
  </si>
  <si>
    <t>rakesh.kumar</t>
  </si>
  <si>
    <t>aman.verma</t>
  </si>
  <si>
    <t>neha.gupta</t>
  </si>
  <si>
    <t>naveen.sharma</t>
  </si>
  <si>
    <t>vinita.kapoor</t>
  </si>
  <si>
    <t>rajeev.kumar</t>
  </si>
  <si>
    <t>swati.singh</t>
  </si>
  <si>
    <t>kavita.sharma</t>
  </si>
  <si>
    <t>manish.patel</t>
  </si>
  <si>
    <t>priyanka.jain</t>
  </si>
  <si>
    <t>rohit.sharma</t>
  </si>
  <si>
    <t>deepika.singh</t>
  </si>
  <si>
    <t>vikas.joshi</t>
  </si>
  <si>
    <t>nisha.verma</t>
  </si>
  <si>
    <t>manoj.kumar</t>
  </si>
  <si>
    <t>sanjay.gupta</t>
  </si>
  <si>
    <t>anjali.sharma</t>
  </si>
  <si>
    <t>akash.patel</t>
  </si>
  <si>
    <t>preeti.singh</t>
  </si>
  <si>
    <t>ravi.kumar</t>
  </si>
  <si>
    <t>swati.mishra</t>
  </si>
  <si>
    <t>ankit.singh</t>
  </si>
  <si>
    <t>rajeev.sharma</t>
  </si>
  <si>
    <t>sarika.patel</t>
  </si>
  <si>
    <t>vinay.singh</t>
  </si>
  <si>
    <t>priya.gupta</t>
  </si>
  <si>
    <t>sushant.patel</t>
  </si>
  <si>
    <t>payal.sharma</t>
  </si>
  <si>
    <t>mohit.verma</t>
  </si>
  <si>
    <t>kavita.singh</t>
  </si>
  <si>
    <t>ankit.patel</t>
  </si>
  <si>
    <t>pooja.mishra</t>
  </si>
  <si>
    <t>mohan.kumar</t>
  </si>
  <si>
    <t>anjali.gupta</t>
  </si>
  <si>
    <t>mukesh.sharma</t>
  </si>
  <si>
    <t>arjun.singh</t>
  </si>
  <si>
    <t>divya.patel</t>
  </si>
  <si>
    <t>gaurav.kumar</t>
  </si>
  <si>
    <t>aditi.shah</t>
  </si>
  <si>
    <t>sandeep.singh</t>
  </si>
  <si>
    <t>shalini.sharma</t>
  </si>
  <si>
    <t>Column1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</si>
  <si>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</si>
  <si>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</si>
  <si>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</si>
  <si>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</si>
  <si>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</si>
  <si>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</si>
  <si>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</si>
  <si>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</si>
  <si>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</si>
  <si>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</si>
  <si>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</si>
  <si>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</si>
  <si>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</si>
  <si>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support@unmessenger.com</t>
  </si>
  <si>
    <t>Address Not Available</t>
  </si>
  <si>
    <t>IT Development</t>
  </si>
  <si>
    <t>Management</t>
  </si>
  <si>
    <t>hr.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</si>
</sst>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\9\1\-\ 0000000000"/>
  </numFmts>
  <fonts count="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</font>
    <font>
      <sz val="11"/>
      <color theme="1"/>
      <name val="Calibri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 applyFont="1" applyAlignment="1"/>
    <xf numFmtId="0" fontId="2" fillId="2" borderId="1" xfId="0" applyFont="1" applyFill="1" applyBorder="1"/>
    <xf numFmtId="0" fontId="3" fillId="0" borderId="0" xfId="0" applyFont="1"/>
    <xf numFmtId="0" fontId="2" fillId="2" borderId="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0" fillId="0" borderId="1" xfId="0" applyFill="1" applyBorder="1" applyAlignment="1"/>
    <xf numFmtId="0" fontId="0" fillId="0" borderId="2" xfId="0" applyFill="1" applyBorder="1" applyAlignment="1"/>
    <xf numFmtId="0" fontId="5" fillId="0" borderId="3" xfId="0" applyFont="1" applyFill="1" applyBorder="1" applyAlignment="1">
      <alignment horizontal="centerContinuous"/>
    </xf>
    <xf numFmtId="164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Alignment="1"/>
    <xf numFmtId="0" fontId="4" fillId="0" borderId="0" xfId="0" quotePrefix="1" applyFont="1" applyAlignment="1">
      <alignment horizontal="center"/>
    </xf>
  </cellXfs>
  <cellStyles count="1">
    <cellStyle name="Normal" xfId="0" builtinId="0"/>
  </cellStyles>
  <dxfs count="10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\9\1\-\ 00000000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>
      <tableStyleElement type="headerRow" dxfId="105"/>
      <tableStyleElement type="firstRowStripe" dxfId="104"/>
      <tableStyleElement type="secondRowStripe" dxfId="10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466725</xdr:colOff>
      <xdr:row>0</xdr:row>
      <xdr:rowOff>104775</xdr:rowOff>
    </xdr:from>
    <xdr:ext cx="5114925" cy="781050"/>
    <xdr:sp macro="" textlink="">
      <xdr:nvSpPr>
        <xdr:cNvPr id="3" name="Shape 3"/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6</xdr:col>
      <xdr:colOff>1047750</xdr:colOff>
      <xdr:row>0</xdr:row>
      <xdr:rowOff>0</xdr:rowOff>
    </xdr:from>
    <xdr:ext cx="4057650" cy="942975"/>
    <xdr:sp macro="" textlink="">
      <xdr:nvSpPr>
        <xdr:cNvPr id="4" name="Shape 4"/>
        <xdr:cNvSpPr/>
      </xdr:nvSpPr>
      <xdr:spPr>
        <a:xfrm>
          <a:off x="3319708" y="3311186"/>
          <a:ext cx="4052584" cy="937629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Unmessenger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id="1" name="Table_1" displayName="Table_1" ref="E7:M57">
  <tableColumns count="9">
    <tableColumn id="1" name="Id"/>
    <tableColumn id="2" name="Name"/>
    <tableColumn id="3" name="Age"/>
    <tableColumn id="4" name="Gender"/>
    <tableColumn id="5" name="Department"/>
    <tableColumn id="6" name="Email"/>
    <tableColumn id="7" name="Phone" dataDxfId="102"/>
    <tableColumn id="8" name="Address"/>
    <tableColumn id="9" name="Salary"/>
  </tableColumns>
  <tableStyleInfo name="Unmessenger-style" showFirstColumn="1" showLastColumn="1" showRowStripes="1" showColumnStripes="0"/>
</table>
</file>

<file path=xl/tables/table2.xml><?xml version="1.0" encoding="utf-8"?>
<table xmlns="http://schemas.openxmlformats.org/spreadsheetml/2006/main" id="9" name="Table_1310" displayName="Table_1310" ref="A1:J51" headerRowDxfId="101" dataDxfId="100" totalsRowDxfId="99">
  <tableColumns count="10">
    <tableColumn id="1" name="Id" dataDxfId="98"/>
    <tableColumn id="2" name="Name" dataDxfId="97"/>
    <tableColumn id="3" name="Age" dataDxfId="96"/>
    <tableColumn id="4" name="Gender" dataDxfId="95"/>
    <tableColumn id="5" name="Department" dataDxfId="94"/>
    <tableColumn id="6" name="Email" dataDxfId="93"/>
    <tableColumn id="7" name="Phone" dataDxfId="92"/>
    <tableColumn id="8" name="Address" dataDxfId="91"/>
    <tableColumn id="9" name="Salary" dataDxfId="90"/>
    <tableColumn id="10" name="name2" dataDxfId="89" totalsRowDxfId="88"/>
  </tableColumns>
  <tableStyleInfo name="Unmessenger-style" showFirstColumn="1" showLastColumn="1" showRowStripes="1" showColumnStripes="0"/>
</table>
</file>

<file path=xl/tables/table3.xml><?xml version="1.0" encoding="utf-8"?>
<table xmlns="http://schemas.openxmlformats.org/spreadsheetml/2006/main" id="2" name="Table_13103" displayName="Table_13103" ref="A1:I51" headerRowDxfId="87" dataDxfId="86" totalsRowDxfId="85">
  <tableColumns count="9">
    <tableColumn id="1" name="Id" dataDxfId="84"/>
    <tableColumn id="2" name="Name" dataDxfId="83"/>
    <tableColumn id="3" name="Age" dataDxfId="82"/>
    <tableColumn id="4" name="Gender" dataDxfId="81"/>
    <tableColumn id="5" name="Department" dataDxfId="80"/>
    <tableColumn id="6" name="Email" dataDxfId="79"/>
    <tableColumn id="7" name="Phone" dataDxfId="78"/>
    <tableColumn id="8" name="Address" dataDxfId="77"/>
    <tableColumn id="9" name="Salary" dataDxfId="76"/>
  </tableColumns>
  <tableStyleInfo name="Unmessenger-style" showFirstColumn="1" showLastColumn="1" showRowStripes="1" showColumnStripes="0"/>
</table>
</file>

<file path=xl/tables/table4.xml><?xml version="1.0" encoding="utf-8"?>
<table xmlns="http://schemas.openxmlformats.org/spreadsheetml/2006/main" id="3" name="Table_131034" displayName="Table_131034" ref="A1:I51" headerRowDxfId="75" dataDxfId="74" totalsRowDxfId="73">
  <tableColumns count="9">
    <tableColumn id="1" name="Id" dataDxfId="72"/>
    <tableColumn id="2" name="Name" dataDxfId="71"/>
    <tableColumn id="3" name="Age" dataDxfId="70"/>
    <tableColumn id="4" name="Gender" dataDxfId="69"/>
    <tableColumn id="5" name="Department" dataDxfId="68"/>
    <tableColumn id="6" name="Email" dataDxfId="67"/>
    <tableColumn id="7" name="Phone" dataDxfId="66"/>
    <tableColumn id="8" name="Address" dataDxfId="65"/>
    <tableColumn id="9" name="Salary" dataDxfId="64"/>
  </tableColumns>
  <tableStyleInfo name="Unmessenger-style" showFirstColumn="1" showLastColumn="1" showRowStripes="1" showColumnStripes="0"/>
</table>
</file>

<file path=xl/tables/table5.xml><?xml version="1.0" encoding="utf-8"?>
<table xmlns="http://schemas.openxmlformats.org/spreadsheetml/2006/main" id="4" name="Table_13105" displayName="Table_13105" ref="A1:J44" headerRowDxfId="63" dataDxfId="62" totalsRowDxfId="61">
  <tableColumns count="10">
    <tableColumn id="1" name="Id" dataDxfId="60"/>
    <tableColumn id="2" name="Name" dataDxfId="59"/>
    <tableColumn id="3" name="Age" dataDxfId="58"/>
    <tableColumn id="4" name="Gender" dataDxfId="57"/>
    <tableColumn id="5" name="Department" dataDxfId="56"/>
    <tableColumn id="6" name="Email" dataDxfId="55"/>
    <tableColumn id="7" name="Phone" dataDxfId="54"/>
    <tableColumn id="8" name="Address" dataDxfId="53"/>
    <tableColumn id="9" name="Salary" dataDxfId="52"/>
    <tableColumn id="10" name="name2" dataDxfId="51" totalsRowDxfId="50"/>
  </tableColumns>
  <tableStyleInfo name="Unmessenger-style" showFirstColumn="1" showLastColumn="1" showRowStripes="1" showColumnStripes="0"/>
</table>
</file>

<file path=xl/tables/table6.xml><?xml version="1.0" encoding="utf-8"?>
<table xmlns="http://schemas.openxmlformats.org/spreadsheetml/2006/main" id="5" name="Table_131034576" displayName="Table_131034576" ref="A1:I51" headerRowDxfId="49" dataDxfId="48" totalsRowDxfId="47">
  <tableColumns count="9">
    <tableColumn id="1" name="Id" dataDxfId="46"/>
    <tableColumn id="2" name="Name" dataDxfId="45"/>
    <tableColumn id="3" name="Age" dataDxfId="44"/>
    <tableColumn id="4" name="Gender" dataDxfId="43"/>
    <tableColumn id="5" name="Department" dataDxfId="42"/>
    <tableColumn id="6" name="Email" dataDxfId="41"/>
    <tableColumn id="7" name="Phone" dataDxfId="40"/>
    <tableColumn id="8" name="Address" dataDxfId="39"/>
    <tableColumn id="9" name="Salary" dataDxfId="38"/>
  </tableColumns>
  <tableStyleInfo name="Unmessenger-style" showFirstColumn="1" showLastColumn="1" showRowStripes="1" showColumnStripes="0"/>
</table>
</file>

<file path=xl/tables/table7.xml><?xml version="1.0" encoding="utf-8"?>
<table xmlns="http://schemas.openxmlformats.org/spreadsheetml/2006/main" id="6" name="Table_13103457" displayName="Table_13103457" ref="A1:I51" headerRowDxfId="37" dataDxfId="36" totalsRowDxfId="35">
  <tableColumns count="9">
    <tableColumn id="1" name="Id" dataDxfId="34"/>
    <tableColumn id="2" name="Name" dataDxfId="33"/>
    <tableColumn id="3" name="Age" dataDxfId="32"/>
    <tableColumn id="4" name="Gender" dataDxfId="31"/>
    <tableColumn id="5" name="Department" dataDxfId="30"/>
    <tableColumn id="6" name="Email" dataDxfId="29"/>
    <tableColumn id="7" name="Phone" dataDxfId="28"/>
    <tableColumn id="8" name="Address" dataDxfId="27"/>
    <tableColumn id="9" name="Salary" dataDxfId="26"/>
  </tableColumns>
  <tableStyleInfo name="Unmessenger-style" showFirstColumn="1" showLastColumn="1" showRowStripes="1" showColumnStripes="0"/>
</table>
</file>

<file path=xl/tables/table8.xml><?xml version="1.0" encoding="utf-8"?>
<table xmlns="http://schemas.openxmlformats.org/spreadsheetml/2006/main" id="7" name="Table_131034578" displayName="Table_131034578" ref="A1:I51" headerRowDxfId="25" dataDxfId="24" totalsRowDxfId="23">
  <tableColumns count="9">
    <tableColumn id="1" name="Id" dataDxfId="22"/>
    <tableColumn id="2" name="Name" dataDxfId="21"/>
    <tableColumn id="3" name="Age" dataDxfId="20"/>
    <tableColumn id="4" name="Gender" dataDxfId="19"/>
    <tableColumn id="5" name="Department" dataDxfId="18"/>
    <tableColumn id="6" name="Email" dataDxfId="17"/>
    <tableColumn id="7" name="Phone" dataDxfId="16"/>
    <tableColumn id="8" name="Address" dataDxfId="15"/>
    <tableColumn id="9" name="Salary" dataDxfId="14"/>
  </tableColumns>
  <tableStyleInfo name="Unmessenger-style" showFirstColumn="1" showLastColumn="1" showRowStripes="1" showColumnStripes="0"/>
</table>
</file>

<file path=xl/tables/table9.xml><?xml version="1.0" encoding="utf-8"?>
<table xmlns="http://schemas.openxmlformats.org/spreadsheetml/2006/main" id="8" name="Table_1310345789" displayName="Table_1310345789" ref="A1:I51" headerRowDxfId="13" dataDxfId="12" totalsRowDxfId="11">
  <tableColumns count="9">
    <tableColumn id="1" name="Id" dataDxfId="10"/>
    <tableColumn id="2" name="Name" dataDxfId="9"/>
    <tableColumn id="3" name="Age" dataDxfId="8"/>
    <tableColumn id="4" name="Gender" dataDxfId="7"/>
    <tableColumn id="5" name="Department" dataDxfId="6"/>
    <tableColumn id="6" name="Email" dataDxfId="5"/>
    <tableColumn id="7" name="Phone" dataDxfId="4"/>
    <tableColumn id="8" name="Address" dataDxfId="3"/>
    <tableColumn id="9" name="Salary" dataDxfId="2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M1000"/>
  <sheetViews>
    <sheetView topLeftCell="E6" workbookViewId="0">
      <selection activeCell="I6" sqref="I6"/>
    </sheetView>
  </sheetViews>
  <sheetFormatPr defaultColWidth="14.42578125" defaultRowHeight="15" customHeight="1" x14ac:dyDescent="0.25"/>
  <cols>
    <col min="1" max="4" width="8.7109375" customWidth="1"/>
    <col min="5" max="5" width="15.5703125" customWidth="1"/>
    <col min="6" max="6" width="8.7109375" customWidth="1"/>
    <col min="7" max="7" width="22.28515625" customWidth="1"/>
    <col min="8" max="8" width="35.42578125" customWidth="1"/>
    <col min="9" max="9" width="25.85546875" customWidth="1"/>
    <col min="10" max="10" width="23.7109375" customWidth="1"/>
    <col min="11" max="11" width="36.85546875" style="5" customWidth="1"/>
    <col min="12" max="12" width="15.28515625" customWidth="1"/>
    <col min="13" max="13" width="9" customWidth="1"/>
    <col min="14" max="26" width="8.7109375" customWidth="1"/>
  </cols>
  <sheetData>
    <row r="1" spans="5:13" ht="14.25" customHeight="1" x14ac:dyDescent="0.25"/>
    <row r="2" spans="5:13" ht="14.25" customHeight="1" x14ac:dyDescent="0.25"/>
    <row r="3" spans="5:13" ht="14.25" customHeight="1" x14ac:dyDescent="0.25"/>
    <row r="4" spans="5:13" ht="14.25" customHeight="1" x14ac:dyDescent="0.25"/>
    <row r="5" spans="5:13" ht="14.25" customHeight="1" x14ac:dyDescent="0.25"/>
    <row r="6" spans="5:13" ht="14.25" customHeight="1" x14ac:dyDescent="0.25"/>
    <row r="7" spans="5:13" ht="14.25" customHeight="1" x14ac:dyDescent="0.3">
      <c r="E7" s="1" t="s">
        <v>0</v>
      </c>
      <c r="F7" s="1" t="s">
        <v>1</v>
      </c>
      <c r="G7" s="1" t="s">
        <v>2</v>
      </c>
      <c r="H7" s="1" t="s">
        <v>3</v>
      </c>
      <c r="I7" s="1" t="s">
        <v>4</v>
      </c>
      <c r="J7" s="1" t="s">
        <v>5</v>
      </c>
      <c r="K7" s="3" t="s">
        <v>6</v>
      </c>
      <c r="L7" s="1" t="s">
        <v>7</v>
      </c>
      <c r="M7" s="1" t="s">
        <v>8</v>
      </c>
    </row>
    <row r="8" spans="5:13" ht="14.25" customHeight="1" x14ac:dyDescent="0.25">
      <c r="E8" s="2">
        <v>1</v>
      </c>
      <c r="F8" s="2" t="s">
        <v>9</v>
      </c>
      <c r="G8" s="2">
        <v>32</v>
      </c>
      <c r="H8" s="2" t="s">
        <v>10</v>
      </c>
      <c r="I8" s="2" t="s">
        <v>11</v>
      </c>
      <c r="J8" s="2" t="s">
        <v>12</v>
      </c>
      <c r="K8" s="4" t="s">
        <v>13</v>
      </c>
      <c r="L8" s="2" t="s">
        <v>14</v>
      </c>
      <c r="M8" s="2">
        <v>4553</v>
      </c>
    </row>
    <row r="9" spans="5:13" ht="14.25" customHeight="1" x14ac:dyDescent="0.25">
      <c r="E9" s="2">
        <v>2</v>
      </c>
      <c r="F9" s="2" t="s">
        <v>15</v>
      </c>
      <c r="G9" s="2">
        <v>28</v>
      </c>
      <c r="H9" s="2" t="s">
        <v>16</v>
      </c>
      <c r="I9" s="2" t="s">
        <v>17</v>
      </c>
      <c r="J9" s="2" t="s">
        <v>18</v>
      </c>
      <c r="K9" s="4" t="s">
        <v>19</v>
      </c>
      <c r="L9" s="2" t="s">
        <v>20</v>
      </c>
      <c r="M9" s="2">
        <v>31169</v>
      </c>
    </row>
    <row r="10" spans="5:13" ht="14.25" customHeight="1" x14ac:dyDescent="0.25">
      <c r="E10" s="2">
        <v>3</v>
      </c>
      <c r="F10" s="2" t="s">
        <v>21</v>
      </c>
      <c r="G10" s="2">
        <v>27</v>
      </c>
      <c r="H10" s="2" t="s">
        <v>10</v>
      </c>
      <c r="I10" s="2" t="s">
        <v>22</v>
      </c>
      <c r="J10" s="2" t="s">
        <v>23</v>
      </c>
      <c r="K10" s="4" t="s">
        <v>24</v>
      </c>
      <c r="L10" s="2" t="s">
        <v>25</v>
      </c>
      <c r="M10" s="2">
        <v>11116</v>
      </c>
    </row>
    <row r="11" spans="5:13" ht="14.25" customHeight="1" x14ac:dyDescent="0.25">
      <c r="E11" s="2">
        <v>4</v>
      </c>
      <c r="F11" s="2" t="s">
        <v>26</v>
      </c>
      <c r="G11" s="2">
        <v>33</v>
      </c>
      <c r="H11" s="2" t="s">
        <v>16</v>
      </c>
      <c r="I11" s="2" t="s">
        <v>27</v>
      </c>
      <c r="J11" s="2" t="s">
        <v>28</v>
      </c>
      <c r="K11" s="4" t="s">
        <v>29</v>
      </c>
      <c r="L11" s="2" t="s">
        <v>30</v>
      </c>
      <c r="M11" s="2">
        <v>33457</v>
      </c>
    </row>
    <row r="12" spans="5:13" ht="14.25" customHeight="1" x14ac:dyDescent="0.25">
      <c r="E12" s="2">
        <v>5</v>
      </c>
      <c r="F12" s="2"/>
      <c r="G12" s="2">
        <v>29</v>
      </c>
      <c r="H12" s="2" t="s">
        <v>16</v>
      </c>
      <c r="I12" s="2" t="s">
        <v>31</v>
      </c>
      <c r="J12" s="2" t="s">
        <v>32</v>
      </c>
      <c r="K12" s="4"/>
      <c r="L12" s="2"/>
      <c r="M12" s="2">
        <v>21918</v>
      </c>
    </row>
    <row r="13" spans="5:13" ht="14.25" customHeight="1" x14ac:dyDescent="0.25">
      <c r="E13" s="2">
        <v>6</v>
      </c>
      <c r="F13" s="2" t="s">
        <v>33</v>
      </c>
      <c r="G13" s="2">
        <v>34</v>
      </c>
      <c r="H13" s="2" t="s">
        <v>10</v>
      </c>
      <c r="I13" s="2" t="s">
        <v>34</v>
      </c>
      <c r="J13" s="2" t="s">
        <v>35</v>
      </c>
      <c r="K13" s="4"/>
      <c r="L13" s="2" t="s">
        <v>36</v>
      </c>
      <c r="M13" s="2">
        <v>33418</v>
      </c>
    </row>
    <row r="14" spans="5:13" ht="14.25" customHeight="1" x14ac:dyDescent="0.25">
      <c r="E14" s="2">
        <v>7</v>
      </c>
      <c r="F14" s="2" t="s">
        <v>37</v>
      </c>
      <c r="G14" s="2">
        <v>25</v>
      </c>
      <c r="H14" s="2" t="s">
        <v>16</v>
      </c>
      <c r="I14" s="2" t="s">
        <v>22</v>
      </c>
      <c r="J14" s="2"/>
      <c r="K14" s="4" t="s">
        <v>38</v>
      </c>
      <c r="L14" s="2" t="s">
        <v>39</v>
      </c>
      <c r="M14" s="2">
        <v>45828</v>
      </c>
    </row>
    <row r="15" spans="5:13" ht="14.25" customHeight="1" x14ac:dyDescent="0.25">
      <c r="E15" s="2">
        <v>8</v>
      </c>
      <c r="F15" s="2" t="s">
        <v>40</v>
      </c>
      <c r="G15" s="2">
        <v>31</v>
      </c>
      <c r="H15" s="2" t="s">
        <v>10</v>
      </c>
      <c r="I15" s="2" t="s">
        <v>27</v>
      </c>
      <c r="J15" s="2" t="s">
        <v>41</v>
      </c>
      <c r="K15" s="4">
        <f>91-8888888888</f>
        <v>-8888888797</v>
      </c>
      <c r="L15" s="2"/>
      <c r="M15" s="2">
        <v>45450</v>
      </c>
    </row>
    <row r="16" spans="5:13" ht="14.25" customHeight="1" x14ac:dyDescent="0.25">
      <c r="E16" s="2">
        <v>9</v>
      </c>
      <c r="F16" s="2" t="s">
        <v>42</v>
      </c>
      <c r="G16" s="2">
        <v>27</v>
      </c>
      <c r="H16" s="2" t="s">
        <v>16</v>
      </c>
      <c r="I16" s="2" t="s">
        <v>31</v>
      </c>
      <c r="J16" s="2" t="s">
        <v>43</v>
      </c>
      <c r="K16" s="4">
        <f>91-7777777777</f>
        <v>-7777777686</v>
      </c>
      <c r="L16" s="2" t="s">
        <v>44</v>
      </c>
      <c r="M16" s="2">
        <v>49938</v>
      </c>
    </row>
    <row r="17" spans="5:13" ht="14.25" customHeight="1" x14ac:dyDescent="0.25">
      <c r="E17" s="2">
        <v>10</v>
      </c>
      <c r="F17" s="2"/>
      <c r="G17" s="2">
        <v>35</v>
      </c>
      <c r="H17" s="2" t="s">
        <v>10</v>
      </c>
      <c r="I17" s="2" t="s">
        <v>11</v>
      </c>
      <c r="J17" s="2" t="s">
        <v>45</v>
      </c>
      <c r="K17" s="4"/>
      <c r="L17" s="2" t="s">
        <v>46</v>
      </c>
      <c r="M17" s="2">
        <v>9818</v>
      </c>
    </row>
    <row r="18" spans="5:13" ht="14.25" customHeight="1" x14ac:dyDescent="0.25">
      <c r="E18" s="2">
        <v>11</v>
      </c>
      <c r="F18" s="2" t="s">
        <v>47</v>
      </c>
      <c r="G18" s="2"/>
      <c r="H18" s="2" t="s">
        <v>16</v>
      </c>
      <c r="I18" s="2" t="s">
        <v>17</v>
      </c>
      <c r="J18" s="2" t="s">
        <v>48</v>
      </c>
      <c r="K18" s="4">
        <f>91-6666666666</f>
        <v>-6666666575</v>
      </c>
      <c r="L18" s="2" t="s">
        <v>49</v>
      </c>
      <c r="M18" s="2">
        <v>41836</v>
      </c>
    </row>
    <row r="19" spans="5:13" ht="14.25" customHeight="1" x14ac:dyDescent="0.25">
      <c r="E19" s="2">
        <v>12</v>
      </c>
      <c r="F19" s="2" t="s">
        <v>50</v>
      </c>
      <c r="G19" s="2">
        <v>29</v>
      </c>
      <c r="H19" s="2" t="s">
        <v>10</v>
      </c>
      <c r="I19" s="2" t="s">
        <v>17</v>
      </c>
      <c r="J19" s="2" t="s">
        <v>51</v>
      </c>
      <c r="K19" s="4">
        <f>91-5555555555</f>
        <v>-5555555464</v>
      </c>
      <c r="L19" s="2" t="s">
        <v>52</v>
      </c>
      <c r="M19" s="2">
        <v>11901</v>
      </c>
    </row>
    <row r="20" spans="5:13" ht="14.25" customHeight="1" x14ac:dyDescent="0.25">
      <c r="E20" s="2">
        <v>13</v>
      </c>
      <c r="F20" s="2"/>
      <c r="G20" s="2">
        <v>26</v>
      </c>
      <c r="H20" s="2" t="s">
        <v>10</v>
      </c>
      <c r="I20" s="2" t="s">
        <v>53</v>
      </c>
      <c r="J20" s="2"/>
      <c r="K20" s="4">
        <f>91-7777777777</f>
        <v>-7777777686</v>
      </c>
      <c r="L20" s="2" t="s">
        <v>54</v>
      </c>
      <c r="M20" s="2">
        <v>46236</v>
      </c>
    </row>
    <row r="21" spans="5:13" ht="14.25" customHeight="1" x14ac:dyDescent="0.25">
      <c r="E21" s="2">
        <v>14</v>
      </c>
      <c r="F21" s="2" t="s">
        <v>55</v>
      </c>
      <c r="G21" s="2">
        <v>28</v>
      </c>
      <c r="H21" s="2" t="s">
        <v>16</v>
      </c>
      <c r="I21" s="2" t="s">
        <v>56</v>
      </c>
      <c r="J21" s="2" t="s">
        <v>57</v>
      </c>
      <c r="K21" s="4"/>
      <c r="L21" s="2" t="s">
        <v>58</v>
      </c>
      <c r="M21" s="2">
        <v>21978</v>
      </c>
    </row>
    <row r="22" spans="5:13" ht="14.25" customHeight="1" x14ac:dyDescent="0.25">
      <c r="E22" s="2">
        <v>15</v>
      </c>
      <c r="F22" s="2"/>
      <c r="G22" s="2">
        <v>30</v>
      </c>
      <c r="H22" s="2" t="s">
        <v>16</v>
      </c>
      <c r="I22" s="2" t="s">
        <v>59</v>
      </c>
      <c r="J22" s="2" t="s">
        <v>60</v>
      </c>
      <c r="K22" s="4">
        <f>91-8888888888</f>
        <v>-8888888797</v>
      </c>
      <c r="L22" s="2"/>
      <c r="M22" s="2">
        <v>49400</v>
      </c>
    </row>
    <row r="23" spans="5:13" ht="14.25" customHeight="1" x14ac:dyDescent="0.25">
      <c r="E23" s="2">
        <v>16</v>
      </c>
      <c r="F23" s="2" t="s">
        <v>61</v>
      </c>
      <c r="G23" s="2">
        <v>32</v>
      </c>
      <c r="H23" s="2" t="s">
        <v>10</v>
      </c>
      <c r="I23" s="2" t="s">
        <v>62</v>
      </c>
      <c r="J23" s="2" t="s">
        <v>63</v>
      </c>
      <c r="K23" s="4">
        <f>91-1234567890</f>
        <v>-1234567799</v>
      </c>
      <c r="L23" s="2" t="s">
        <v>64</v>
      </c>
      <c r="M23" s="2">
        <v>28476</v>
      </c>
    </row>
    <row r="24" spans="5:13" ht="14.25" customHeight="1" x14ac:dyDescent="0.25">
      <c r="E24" s="2">
        <v>17</v>
      </c>
      <c r="F24" s="2" t="s">
        <v>65</v>
      </c>
      <c r="G24" s="2">
        <v>26</v>
      </c>
      <c r="H24" s="2" t="s">
        <v>16</v>
      </c>
      <c r="I24" s="2" t="s">
        <v>66</v>
      </c>
      <c r="J24" s="2" t="s">
        <v>67</v>
      </c>
      <c r="K24" s="4">
        <f>91-8765432109</f>
        <v>-8765432018</v>
      </c>
      <c r="L24" s="2"/>
      <c r="M24" s="2">
        <v>40088</v>
      </c>
    </row>
    <row r="25" spans="5:13" ht="14.25" customHeight="1" x14ac:dyDescent="0.25">
      <c r="E25" s="2">
        <v>18</v>
      </c>
      <c r="F25" s="2" t="s">
        <v>68</v>
      </c>
      <c r="G25" s="2">
        <v>28</v>
      </c>
      <c r="H25" s="2" t="s">
        <v>10</v>
      </c>
      <c r="I25" s="2" t="s">
        <v>34</v>
      </c>
      <c r="J25" s="2" t="s">
        <v>69</v>
      </c>
      <c r="K25" s="4">
        <f>91-9876543210</f>
        <v>-9876543119</v>
      </c>
      <c r="L25" s="2" t="s">
        <v>70</v>
      </c>
      <c r="M25" s="2">
        <v>2949</v>
      </c>
    </row>
    <row r="26" spans="5:13" ht="14.25" customHeight="1" x14ac:dyDescent="0.25">
      <c r="E26" s="2">
        <v>19</v>
      </c>
      <c r="F26" s="2" t="s">
        <v>71</v>
      </c>
      <c r="G26" s="2">
        <v>30</v>
      </c>
      <c r="H26" s="2" t="s">
        <v>16</v>
      </c>
      <c r="I26" s="2" t="s">
        <v>34</v>
      </c>
      <c r="J26" s="2" t="s">
        <v>72</v>
      </c>
      <c r="K26" s="4">
        <f>91-5555555555</f>
        <v>-5555555464</v>
      </c>
      <c r="L26" s="2" t="s">
        <v>73</v>
      </c>
      <c r="M26" s="2">
        <v>3337</v>
      </c>
    </row>
    <row r="27" spans="5:13" ht="14.25" customHeight="1" x14ac:dyDescent="0.25">
      <c r="E27" s="2">
        <v>20</v>
      </c>
      <c r="F27" s="2"/>
      <c r="G27" s="2">
        <v>32</v>
      </c>
      <c r="H27" s="2" t="s">
        <v>10</v>
      </c>
      <c r="I27" s="2" t="s">
        <v>59</v>
      </c>
      <c r="J27" s="2" t="s">
        <v>74</v>
      </c>
      <c r="K27" s="4">
        <f>91-9999999999</f>
        <v>-9999999908</v>
      </c>
      <c r="L27" s="2"/>
      <c r="M27" s="2">
        <v>2857</v>
      </c>
    </row>
    <row r="28" spans="5:13" ht="14.25" customHeight="1" x14ac:dyDescent="0.25">
      <c r="E28" s="2">
        <v>21</v>
      </c>
      <c r="F28" s="2" t="s">
        <v>75</v>
      </c>
      <c r="G28" s="2">
        <v>26</v>
      </c>
      <c r="H28" s="2" t="s">
        <v>16</v>
      </c>
      <c r="I28" s="2" t="s">
        <v>62</v>
      </c>
      <c r="J28" s="2" t="s">
        <v>76</v>
      </c>
      <c r="K28" s="4"/>
      <c r="L28" s="2" t="s">
        <v>77</v>
      </c>
      <c r="M28" s="2">
        <v>35969</v>
      </c>
    </row>
    <row r="29" spans="5:13" ht="14.25" customHeight="1" x14ac:dyDescent="0.25">
      <c r="E29" s="2">
        <v>22</v>
      </c>
      <c r="F29" s="2" t="s">
        <v>78</v>
      </c>
      <c r="G29" s="2">
        <v>33</v>
      </c>
      <c r="H29" s="2" t="s">
        <v>10</v>
      </c>
      <c r="I29" s="2" t="s">
        <v>66</v>
      </c>
      <c r="J29" s="2" t="s">
        <v>79</v>
      </c>
      <c r="K29" s="4">
        <f>91-8888888888</f>
        <v>-8888888797</v>
      </c>
      <c r="L29" s="2" t="s">
        <v>80</v>
      </c>
      <c r="M29" s="2">
        <v>49681</v>
      </c>
    </row>
    <row r="30" spans="5:13" ht="14.25" customHeight="1" x14ac:dyDescent="0.25">
      <c r="E30" s="2">
        <v>23</v>
      </c>
      <c r="F30" s="2"/>
      <c r="G30" s="2">
        <v>27</v>
      </c>
      <c r="H30" s="2" t="s">
        <v>16</v>
      </c>
      <c r="I30" s="2" t="s">
        <v>34</v>
      </c>
      <c r="J30" s="2"/>
      <c r="K30" s="4">
        <f>91-7777777777</f>
        <v>-7777777686</v>
      </c>
      <c r="L30" s="2" t="s">
        <v>81</v>
      </c>
      <c r="M30" s="2">
        <v>45102</v>
      </c>
    </row>
    <row r="31" spans="5:13" ht="14.25" customHeight="1" x14ac:dyDescent="0.25">
      <c r="E31" s="2">
        <v>24</v>
      </c>
      <c r="F31" s="2" t="s">
        <v>82</v>
      </c>
      <c r="G31" s="2">
        <v>29</v>
      </c>
      <c r="H31" s="2" t="s">
        <v>10</v>
      </c>
      <c r="I31" s="2" t="s">
        <v>11</v>
      </c>
      <c r="J31" s="2" t="s">
        <v>83</v>
      </c>
      <c r="K31" s="4" t="s">
        <v>84</v>
      </c>
      <c r="L31" s="2"/>
      <c r="M31" s="2">
        <v>15853</v>
      </c>
    </row>
    <row r="32" spans="5:13" ht="14.25" customHeight="1" x14ac:dyDescent="0.25">
      <c r="E32" s="2">
        <v>25</v>
      </c>
      <c r="F32" s="2" t="s">
        <v>85</v>
      </c>
      <c r="G32" s="2"/>
      <c r="H32" s="2" t="s">
        <v>16</v>
      </c>
      <c r="I32" s="2" t="s">
        <v>17</v>
      </c>
      <c r="J32" s="2" t="s">
        <v>86</v>
      </c>
      <c r="K32" s="4">
        <f>91-5555555555</f>
        <v>-5555555464</v>
      </c>
      <c r="L32" s="2" t="s">
        <v>87</v>
      </c>
      <c r="M32" s="2">
        <v>6926</v>
      </c>
    </row>
    <row r="33" spans="5:13" ht="14.25" customHeight="1" x14ac:dyDescent="0.25">
      <c r="E33" s="2">
        <v>26</v>
      </c>
      <c r="F33" s="2" t="s">
        <v>88</v>
      </c>
      <c r="G33" s="2">
        <v>31</v>
      </c>
      <c r="H33" s="2" t="s">
        <v>10</v>
      </c>
      <c r="I33" s="2" t="s">
        <v>59</v>
      </c>
      <c r="J33" s="2" t="s">
        <v>89</v>
      </c>
      <c r="K33" s="4"/>
      <c r="L33" s="2" t="s">
        <v>90</v>
      </c>
      <c r="M33" s="2">
        <v>45678</v>
      </c>
    </row>
    <row r="34" spans="5:13" ht="14.25" customHeight="1" x14ac:dyDescent="0.25">
      <c r="E34" s="2">
        <v>27</v>
      </c>
      <c r="F34" s="2" t="s">
        <v>91</v>
      </c>
      <c r="G34" s="2">
        <v>28</v>
      </c>
      <c r="H34" s="2" t="s">
        <v>16</v>
      </c>
      <c r="I34" s="2" t="s">
        <v>62</v>
      </c>
      <c r="J34" s="2" t="s">
        <v>92</v>
      </c>
      <c r="K34" s="4">
        <f>91-7777777777</f>
        <v>-7777777686</v>
      </c>
      <c r="L34" s="2" t="s">
        <v>93</v>
      </c>
      <c r="M34" s="2">
        <v>8022</v>
      </c>
    </row>
    <row r="35" spans="5:13" ht="14.25" customHeight="1" x14ac:dyDescent="0.25">
      <c r="E35" s="2">
        <v>28</v>
      </c>
      <c r="F35" s="2" t="s">
        <v>94</v>
      </c>
      <c r="G35" s="2">
        <v>34</v>
      </c>
      <c r="H35" s="2" t="s">
        <v>10</v>
      </c>
      <c r="I35" s="2" t="s">
        <v>66</v>
      </c>
      <c r="J35" s="2" t="s">
        <v>95</v>
      </c>
      <c r="K35" s="4">
        <f>91-8888888888</f>
        <v>-8888888797</v>
      </c>
      <c r="L35" s="2" t="s">
        <v>96</v>
      </c>
      <c r="M35" s="2">
        <v>3484</v>
      </c>
    </row>
    <row r="36" spans="5:13" ht="14.25" customHeight="1" x14ac:dyDescent="0.25">
      <c r="E36" s="2">
        <v>29</v>
      </c>
      <c r="F36" s="2" t="s">
        <v>97</v>
      </c>
      <c r="G36" s="2">
        <v>26</v>
      </c>
      <c r="H36" s="2" t="s">
        <v>16</v>
      </c>
      <c r="I36" s="2" t="s">
        <v>22</v>
      </c>
      <c r="J36" s="2" t="s">
        <v>98</v>
      </c>
      <c r="K36" s="4">
        <f>91-7777777777</f>
        <v>-7777777686</v>
      </c>
      <c r="L36" s="2" t="s">
        <v>99</v>
      </c>
      <c r="M36" s="2">
        <v>11342</v>
      </c>
    </row>
    <row r="37" spans="5:13" ht="14.25" customHeight="1" x14ac:dyDescent="0.25">
      <c r="E37" s="2">
        <v>30</v>
      </c>
      <c r="F37" s="2"/>
      <c r="G37" s="2">
        <v>29</v>
      </c>
      <c r="H37" s="2" t="s">
        <v>10</v>
      </c>
      <c r="I37" s="2" t="s">
        <v>27</v>
      </c>
      <c r="J37" s="2" t="s">
        <v>100</v>
      </c>
      <c r="K37" s="4"/>
      <c r="L37" s="2" t="s">
        <v>101</v>
      </c>
      <c r="M37" s="2">
        <v>40940</v>
      </c>
    </row>
    <row r="38" spans="5:13" ht="14.25" customHeight="1" x14ac:dyDescent="0.25">
      <c r="E38" s="2">
        <v>31</v>
      </c>
      <c r="F38" s="2" t="s">
        <v>42</v>
      </c>
      <c r="G38" s="2">
        <v>27</v>
      </c>
      <c r="H38" s="2" t="s">
        <v>16</v>
      </c>
      <c r="I38" s="2" t="s">
        <v>31</v>
      </c>
      <c r="J38" s="2" t="s">
        <v>102</v>
      </c>
      <c r="K38" s="4">
        <f>91-5555555555</f>
        <v>-5555555464</v>
      </c>
      <c r="L38" s="2"/>
      <c r="M38" s="2">
        <v>41841</v>
      </c>
    </row>
    <row r="39" spans="5:13" ht="14.25" customHeight="1" x14ac:dyDescent="0.25">
      <c r="E39" s="2">
        <v>32</v>
      </c>
      <c r="F39" s="2" t="s">
        <v>103</v>
      </c>
      <c r="G39" s="2">
        <v>32</v>
      </c>
      <c r="H39" s="2" t="s">
        <v>10</v>
      </c>
      <c r="I39" s="2" t="s">
        <v>59</v>
      </c>
      <c r="J39" s="2" t="s">
        <v>104</v>
      </c>
      <c r="K39" s="4"/>
      <c r="L39" s="2" t="s">
        <v>105</v>
      </c>
      <c r="M39" s="2">
        <v>39835</v>
      </c>
    </row>
    <row r="40" spans="5:13" ht="14.25" customHeight="1" x14ac:dyDescent="0.25">
      <c r="E40" s="2">
        <v>33</v>
      </c>
      <c r="F40" s="2"/>
      <c r="G40" s="2">
        <v>33</v>
      </c>
      <c r="H40" s="2" t="s">
        <v>16</v>
      </c>
      <c r="I40" s="2" t="s">
        <v>62</v>
      </c>
      <c r="J40" s="2" t="s">
        <v>106</v>
      </c>
      <c r="K40" s="4">
        <f>91-6666666666</f>
        <v>-6666666575</v>
      </c>
      <c r="L40" s="2" t="s">
        <v>107</v>
      </c>
      <c r="M40" s="2">
        <v>9577</v>
      </c>
    </row>
    <row r="41" spans="5:13" ht="14.25" customHeight="1" x14ac:dyDescent="0.25">
      <c r="E41" s="2">
        <v>34</v>
      </c>
      <c r="F41" s="2" t="s">
        <v>108</v>
      </c>
      <c r="G41" s="2">
        <v>30</v>
      </c>
      <c r="H41" s="2" t="s">
        <v>10</v>
      </c>
      <c r="I41" s="2" t="s">
        <v>66</v>
      </c>
      <c r="J41" s="2" t="s">
        <v>109</v>
      </c>
      <c r="K41" s="4"/>
      <c r="L41" s="2" t="s">
        <v>110</v>
      </c>
      <c r="M41" s="2">
        <v>29480</v>
      </c>
    </row>
    <row r="42" spans="5:13" ht="14.25" customHeight="1" x14ac:dyDescent="0.25">
      <c r="E42" s="2">
        <v>35</v>
      </c>
      <c r="F42" s="2" t="s">
        <v>111</v>
      </c>
      <c r="G42" s="2"/>
      <c r="H42" s="2" t="s">
        <v>16</v>
      </c>
      <c r="I42" s="2" t="s">
        <v>22</v>
      </c>
      <c r="J42" s="2" t="s">
        <v>112</v>
      </c>
      <c r="K42" s="4">
        <f>91-5555555555</f>
        <v>-5555555464</v>
      </c>
      <c r="L42" s="2" t="s">
        <v>113</v>
      </c>
      <c r="M42" s="2">
        <v>14254</v>
      </c>
    </row>
    <row r="43" spans="5:13" ht="14.25" customHeight="1" x14ac:dyDescent="0.25">
      <c r="E43" s="2">
        <v>36</v>
      </c>
      <c r="F43" s="2" t="s">
        <v>114</v>
      </c>
      <c r="G43" s="2">
        <v>29</v>
      </c>
      <c r="H43" s="2" t="s">
        <v>10</v>
      </c>
      <c r="I43" s="2" t="s">
        <v>27</v>
      </c>
      <c r="J43" s="2" t="s">
        <v>115</v>
      </c>
      <c r="K43" s="4">
        <f>91-7777777777</f>
        <v>-7777777686</v>
      </c>
      <c r="L43" s="2" t="s">
        <v>116</v>
      </c>
      <c r="M43" s="2">
        <v>37358</v>
      </c>
    </row>
    <row r="44" spans="5:13" ht="14.25" customHeight="1" x14ac:dyDescent="0.25">
      <c r="E44" s="2">
        <v>37</v>
      </c>
      <c r="F44" s="2"/>
      <c r="G44" s="2">
        <v>31</v>
      </c>
      <c r="H44" s="2" t="s">
        <v>16</v>
      </c>
      <c r="I44" s="2" t="s">
        <v>31</v>
      </c>
      <c r="J44" s="2" t="s">
        <v>117</v>
      </c>
      <c r="K44" s="4"/>
      <c r="L44" s="2" t="s">
        <v>118</v>
      </c>
      <c r="M44" s="2">
        <v>48367</v>
      </c>
    </row>
    <row r="45" spans="5:13" ht="14.25" customHeight="1" x14ac:dyDescent="0.25">
      <c r="E45" s="2">
        <v>38</v>
      </c>
      <c r="F45" s="2" t="s">
        <v>119</v>
      </c>
      <c r="G45" s="2">
        <v>28</v>
      </c>
      <c r="H45" s="2" t="s">
        <v>10</v>
      </c>
      <c r="I45" s="2" t="s">
        <v>120</v>
      </c>
      <c r="J45" s="2" t="s">
        <v>121</v>
      </c>
      <c r="K45" s="4">
        <f>91-8888888888</f>
        <v>-8888888797</v>
      </c>
      <c r="L45" s="2" t="s">
        <v>122</v>
      </c>
      <c r="M45" s="2">
        <v>37473</v>
      </c>
    </row>
    <row r="46" spans="5:13" ht="14.25" customHeight="1" x14ac:dyDescent="0.25">
      <c r="E46" s="2">
        <v>39</v>
      </c>
      <c r="F46" s="2" t="s">
        <v>123</v>
      </c>
      <c r="G46" s="2">
        <v>33</v>
      </c>
      <c r="H46" s="2" t="s">
        <v>16</v>
      </c>
      <c r="I46" s="2" t="s">
        <v>124</v>
      </c>
      <c r="J46" s="2" t="s">
        <v>125</v>
      </c>
      <c r="K46" s="4">
        <f>91-9999999999</f>
        <v>-9999999908</v>
      </c>
      <c r="L46" s="2" t="s">
        <v>126</v>
      </c>
      <c r="M46" s="2">
        <v>30628</v>
      </c>
    </row>
    <row r="47" spans="5:13" ht="14.25" customHeight="1" x14ac:dyDescent="0.25">
      <c r="E47" s="2">
        <v>40</v>
      </c>
      <c r="F47" s="2" t="s">
        <v>127</v>
      </c>
      <c r="G47" s="2">
        <v>30</v>
      </c>
      <c r="H47" s="2" t="s">
        <v>10</v>
      </c>
      <c r="I47" s="2" t="s">
        <v>128</v>
      </c>
      <c r="J47" s="2" t="s">
        <v>129</v>
      </c>
      <c r="K47" s="4"/>
      <c r="L47" s="2" t="s">
        <v>130</v>
      </c>
      <c r="M47" s="2">
        <v>22018</v>
      </c>
    </row>
    <row r="48" spans="5:13" ht="14.25" customHeight="1" x14ac:dyDescent="0.25">
      <c r="E48" s="2">
        <v>41</v>
      </c>
      <c r="F48" s="2" t="s">
        <v>131</v>
      </c>
      <c r="G48" s="2">
        <v>27</v>
      </c>
      <c r="H48" s="2" t="s">
        <v>16</v>
      </c>
      <c r="I48" s="2" t="s">
        <v>34</v>
      </c>
      <c r="J48" s="2" t="s">
        <v>132</v>
      </c>
      <c r="K48" s="4">
        <f>91-7777777777</f>
        <v>-7777777686</v>
      </c>
      <c r="L48" s="2" t="s">
        <v>133</v>
      </c>
      <c r="M48" s="2">
        <v>35747</v>
      </c>
    </row>
    <row r="49" spans="5:13" ht="14.25" customHeight="1" x14ac:dyDescent="0.25">
      <c r="E49" s="2">
        <v>42</v>
      </c>
      <c r="F49" s="2" t="s">
        <v>134</v>
      </c>
      <c r="G49" s="2">
        <v>29</v>
      </c>
      <c r="H49" s="2" t="s">
        <v>10</v>
      </c>
      <c r="I49" s="2" t="s">
        <v>31</v>
      </c>
      <c r="J49" s="2" t="s">
        <v>135</v>
      </c>
      <c r="K49" s="4"/>
      <c r="L49" s="2" t="s">
        <v>136</v>
      </c>
      <c r="M49" s="2">
        <v>32258</v>
      </c>
    </row>
    <row r="50" spans="5:13" ht="14.25" customHeight="1" x14ac:dyDescent="0.25">
      <c r="E50" s="2">
        <v>43</v>
      </c>
      <c r="F50" s="2" t="s">
        <v>137</v>
      </c>
      <c r="G50" s="2">
        <v>26</v>
      </c>
      <c r="H50" s="2" t="s">
        <v>16</v>
      </c>
      <c r="I50" s="2" t="s">
        <v>59</v>
      </c>
      <c r="J50" s="2" t="s">
        <v>138</v>
      </c>
      <c r="K50" s="4">
        <f>91-5555555555</f>
        <v>-5555555464</v>
      </c>
      <c r="L50" s="2" t="s">
        <v>139</v>
      </c>
      <c r="M50" s="2">
        <v>31047</v>
      </c>
    </row>
    <row r="51" spans="5:13" ht="14.25" customHeight="1" x14ac:dyDescent="0.25">
      <c r="E51" s="2">
        <v>44</v>
      </c>
      <c r="F51" s="2"/>
      <c r="G51" s="2">
        <v>28</v>
      </c>
      <c r="H51" s="2" t="s">
        <v>10</v>
      </c>
      <c r="I51" s="2" t="s">
        <v>62</v>
      </c>
      <c r="J51" s="2" t="s">
        <v>140</v>
      </c>
      <c r="K51" s="4"/>
      <c r="L51" s="2" t="s">
        <v>141</v>
      </c>
      <c r="M51" s="2">
        <v>31064</v>
      </c>
    </row>
    <row r="52" spans="5:13" ht="14.25" customHeight="1" x14ac:dyDescent="0.25">
      <c r="E52" s="2">
        <v>45</v>
      </c>
      <c r="F52" s="2" t="s">
        <v>142</v>
      </c>
      <c r="G52" s="2">
        <v>31</v>
      </c>
      <c r="H52" s="2" t="s">
        <v>10</v>
      </c>
      <c r="I52" s="2" t="s">
        <v>66</v>
      </c>
      <c r="J52" s="2" t="s">
        <v>143</v>
      </c>
      <c r="K52" s="4">
        <f>91-8888888888</f>
        <v>-8888888797</v>
      </c>
      <c r="L52" s="2"/>
      <c r="M52" s="2">
        <v>3108</v>
      </c>
    </row>
    <row r="53" spans="5:13" ht="14.25" customHeight="1" x14ac:dyDescent="0.25">
      <c r="E53" s="2">
        <v>46</v>
      </c>
      <c r="F53" s="2" t="s">
        <v>144</v>
      </c>
      <c r="G53" s="2">
        <v>27</v>
      </c>
      <c r="H53" s="2" t="s">
        <v>16</v>
      </c>
      <c r="I53" s="2" t="s">
        <v>120</v>
      </c>
      <c r="J53" s="2" t="s">
        <v>145</v>
      </c>
      <c r="K53" s="4">
        <f>91-7777777777</f>
        <v>-7777777686</v>
      </c>
      <c r="L53" s="2" t="s">
        <v>146</v>
      </c>
      <c r="M53" s="2">
        <v>20205</v>
      </c>
    </row>
    <row r="54" spans="5:13" ht="14.25" customHeight="1" x14ac:dyDescent="0.25">
      <c r="E54" s="2">
        <v>47</v>
      </c>
      <c r="F54" s="2"/>
      <c r="G54" s="2">
        <v>29</v>
      </c>
      <c r="H54" s="2" t="s">
        <v>10</v>
      </c>
      <c r="I54" s="2" t="s">
        <v>124</v>
      </c>
      <c r="J54" s="2" t="s">
        <v>147</v>
      </c>
      <c r="K54" s="4"/>
      <c r="L54" s="2" t="s">
        <v>148</v>
      </c>
      <c r="M54" s="2">
        <v>8746</v>
      </c>
    </row>
    <row r="55" spans="5:13" ht="14.25" customHeight="1" x14ac:dyDescent="0.25">
      <c r="E55" s="2">
        <v>48</v>
      </c>
      <c r="F55" s="2" t="s">
        <v>149</v>
      </c>
      <c r="G55" s="2">
        <v>32</v>
      </c>
      <c r="H55" s="2" t="s">
        <v>16</v>
      </c>
      <c r="I55" s="2" t="s">
        <v>22</v>
      </c>
      <c r="J55" s="2" t="s">
        <v>150</v>
      </c>
      <c r="K55" s="4">
        <f>91-6666666666</f>
        <v>-6666666575</v>
      </c>
      <c r="L55" s="2" t="s">
        <v>151</v>
      </c>
      <c r="M55" s="2">
        <v>15531</v>
      </c>
    </row>
    <row r="56" spans="5:13" ht="14.25" customHeight="1" x14ac:dyDescent="0.25">
      <c r="E56" s="2">
        <v>49</v>
      </c>
      <c r="F56" s="2" t="s">
        <v>152</v>
      </c>
      <c r="G56" s="2"/>
      <c r="H56" s="2" t="s">
        <v>10</v>
      </c>
      <c r="I56" s="2" t="s">
        <v>27</v>
      </c>
      <c r="J56" s="2" t="s">
        <v>153</v>
      </c>
      <c r="K56" s="4">
        <f>91-5555555555</f>
        <v>-5555555464</v>
      </c>
      <c r="L56" s="2" t="s">
        <v>154</v>
      </c>
      <c r="M56" s="2">
        <v>23055</v>
      </c>
    </row>
    <row r="57" spans="5:13" ht="14.25" customHeight="1" x14ac:dyDescent="0.25">
      <c r="E57" s="2">
        <v>50</v>
      </c>
      <c r="F57" s="2" t="s">
        <v>155</v>
      </c>
      <c r="G57" s="2">
        <v>30</v>
      </c>
      <c r="H57" s="2" t="s">
        <v>16</v>
      </c>
      <c r="I57" s="2" t="s">
        <v>31</v>
      </c>
      <c r="J57" s="2" t="s">
        <v>156</v>
      </c>
      <c r="K57" s="4"/>
      <c r="L57" s="2" t="s">
        <v>157</v>
      </c>
      <c r="M57" s="2">
        <v>18647</v>
      </c>
    </row>
    <row r="58" spans="5:13" ht="14.25" customHeight="1" x14ac:dyDescent="0.25"/>
    <row r="59" spans="5:13" ht="14.25" customHeight="1" x14ac:dyDescent="0.25"/>
    <row r="60" spans="5:13" ht="14.25" customHeight="1" x14ac:dyDescent="0.25"/>
    <row r="61" spans="5:13" ht="14.25" customHeight="1" x14ac:dyDescent="0.25"/>
    <row r="62" spans="5:13" ht="14.25" customHeight="1" x14ac:dyDescent="0.25"/>
    <row r="63" spans="5:13" ht="14.25" customHeight="1" x14ac:dyDescent="0.25"/>
    <row r="64" spans="5:13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orientation="portrait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1"/>
  <sheetViews>
    <sheetView tabSelected="1" workbookViewId="0">
      <selection activeCell="K1" sqref="K1"/>
    </sheetView>
  </sheetViews>
  <sheetFormatPr defaultRowHeight="15" x14ac:dyDescent="0.25"/>
  <cols>
    <col min="2" max="2" width="15.5703125" customWidth="1"/>
    <col min="5" max="5" width="16.7109375" customWidth="1"/>
    <col min="6" max="6" width="26.28515625" customWidth="1"/>
    <col min="7" max="7" width="19.42578125" customWidth="1"/>
    <col min="8" max="8" width="38.85546875" customWidth="1"/>
    <col min="9" max="9" width="8.42578125" customWidth="1"/>
    <col min="10" max="10" width="23.42578125" customWidth="1"/>
  </cols>
  <sheetData>
    <row r="1" spans="1:10" ht="16.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5" t="s">
        <v>158</v>
      </c>
    </row>
    <row r="2" spans="1:10" x14ac:dyDescent="0.25">
      <c r="A2" s="4">
        <v>1</v>
      </c>
      <c r="B2" s="4" t="s">
        <v>9</v>
      </c>
      <c r="C2" s="4">
        <v>32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>
        <v>4553</v>
      </c>
      <c r="J2" s="6" t="s">
        <v>159</v>
      </c>
    </row>
    <row r="3" spans="1:10" x14ac:dyDescent="0.25">
      <c r="A3" s="4">
        <v>2</v>
      </c>
      <c r="B3" s="4" t="s">
        <v>15</v>
      </c>
      <c r="C3" s="4">
        <v>28</v>
      </c>
      <c r="D3" s="4" t="s">
        <v>16</v>
      </c>
      <c r="E3" s="4" t="s">
        <v>17</v>
      </c>
      <c r="F3" s="4" t="s">
        <v>18</v>
      </c>
      <c r="G3" s="4" t="s">
        <v>19</v>
      </c>
      <c r="H3" s="4" t="s">
        <v>20</v>
      </c>
      <c r="I3" s="4">
        <v>31169</v>
      </c>
      <c r="J3" s="6" t="s">
        <v>160</v>
      </c>
    </row>
    <row r="4" spans="1:10" x14ac:dyDescent="0.25">
      <c r="A4" s="4">
        <v>3</v>
      </c>
      <c r="B4" s="4" t="s">
        <v>21</v>
      </c>
      <c r="C4" s="4">
        <v>27</v>
      </c>
      <c r="D4" s="4" t="s">
        <v>10</v>
      </c>
      <c r="E4" s="4" t="s">
        <v>22</v>
      </c>
      <c r="F4" s="4" t="s">
        <v>23</v>
      </c>
      <c r="G4" s="4" t="s">
        <v>24</v>
      </c>
      <c r="H4" s="4" t="s">
        <v>25</v>
      </c>
      <c r="I4" s="4">
        <v>11116</v>
      </c>
      <c r="J4" s="6" t="s">
        <v>161</v>
      </c>
    </row>
    <row r="5" spans="1:10" x14ac:dyDescent="0.25">
      <c r="A5" s="4">
        <v>4</v>
      </c>
      <c r="B5" s="4" t="s">
        <v>26</v>
      </c>
      <c r="C5" s="4">
        <v>33</v>
      </c>
      <c r="D5" s="4" t="s">
        <v>16</v>
      </c>
      <c r="E5" s="4" t="s">
        <v>27</v>
      </c>
      <c r="F5" s="4" t="s">
        <v>28</v>
      </c>
      <c r="G5" s="4" t="s">
        <v>29</v>
      </c>
      <c r="H5" s="4" t="s">
        <v>30</v>
      </c>
      <c r="I5" s="4">
        <v>33457</v>
      </c>
      <c r="J5" s="6" t="s">
        <v>162</v>
      </c>
    </row>
    <row r="6" spans="1:10" x14ac:dyDescent="0.25">
      <c r="A6" s="4">
        <v>5</v>
      </c>
      <c r="B6" s="7" t="str">
        <f>J6</f>
        <v>jane.doe</v>
      </c>
      <c r="C6" s="4">
        <v>29</v>
      </c>
      <c r="D6" s="4" t="s">
        <v>16</v>
      </c>
      <c r="E6" s="4" t="s">
        <v>31</v>
      </c>
      <c r="F6" s="4" t="s">
        <v>32</v>
      </c>
      <c r="G6" s="4"/>
      <c r="H6" s="4"/>
      <c r="I6" s="4">
        <v>21918</v>
      </c>
      <c r="J6" s="6" t="s">
        <v>163</v>
      </c>
    </row>
    <row r="7" spans="1:10" x14ac:dyDescent="0.25">
      <c r="A7" s="4">
        <v>6</v>
      </c>
      <c r="B7" s="4" t="s">
        <v>33</v>
      </c>
      <c r="C7" s="4">
        <v>34</v>
      </c>
      <c r="D7" s="4" t="s">
        <v>10</v>
      </c>
      <c r="E7" s="4" t="s">
        <v>34</v>
      </c>
      <c r="F7" s="4" t="s">
        <v>35</v>
      </c>
      <c r="G7" s="4"/>
      <c r="H7" s="4" t="s">
        <v>36</v>
      </c>
      <c r="I7" s="4">
        <v>33418</v>
      </c>
      <c r="J7" s="6" t="s">
        <v>164</v>
      </c>
    </row>
    <row r="8" spans="1:10" x14ac:dyDescent="0.25">
      <c r="A8" s="4">
        <v>7</v>
      </c>
      <c r="B8" s="4" t="s">
        <v>37</v>
      </c>
      <c r="C8" s="4">
        <v>25</v>
      </c>
      <c r="D8" s="4" t="s">
        <v>16</v>
      </c>
      <c r="E8" s="4" t="s">
        <v>22</v>
      </c>
      <c r="F8" s="4"/>
      <c r="G8" s="4" t="s">
        <v>38</v>
      </c>
      <c r="H8" s="4" t="s">
        <v>39</v>
      </c>
      <c r="I8" s="4">
        <v>45828</v>
      </c>
      <c r="J8" s="5"/>
    </row>
    <row r="9" spans="1:10" x14ac:dyDescent="0.25">
      <c r="A9" s="4">
        <v>8</v>
      </c>
      <c r="B9" s="4" t="s">
        <v>40</v>
      </c>
      <c r="C9" s="4">
        <v>31</v>
      </c>
      <c r="D9" s="4" t="s">
        <v>10</v>
      </c>
      <c r="E9" s="4" t="s">
        <v>27</v>
      </c>
      <c r="F9" s="4" t="s">
        <v>41</v>
      </c>
      <c r="G9" s="4">
        <f>91-8888888888</f>
        <v>-8888888797</v>
      </c>
      <c r="H9" s="4"/>
      <c r="I9" s="4">
        <v>45450</v>
      </c>
      <c r="J9" s="6" t="s">
        <v>165</v>
      </c>
    </row>
    <row r="10" spans="1:10" x14ac:dyDescent="0.25">
      <c r="A10" s="4">
        <v>9</v>
      </c>
      <c r="B10" s="4" t="s">
        <v>42</v>
      </c>
      <c r="C10" s="4">
        <v>27</v>
      </c>
      <c r="D10" s="4" t="s">
        <v>16</v>
      </c>
      <c r="E10" s="4" t="s">
        <v>31</v>
      </c>
      <c r="F10" s="4" t="s">
        <v>43</v>
      </c>
      <c r="G10" s="4">
        <f>91-7777777777</f>
        <v>-7777777686</v>
      </c>
      <c r="H10" s="4" t="s">
        <v>44</v>
      </c>
      <c r="I10" s="4">
        <v>49938</v>
      </c>
      <c r="J10" s="6" t="s">
        <v>166</v>
      </c>
    </row>
    <row r="11" spans="1:10" x14ac:dyDescent="0.25">
      <c r="A11" s="4">
        <v>10</v>
      </c>
      <c r="B11" s="7" t="str">
        <f>J11</f>
        <v>naveen.sharma</v>
      </c>
      <c r="C11" s="4">
        <v>35</v>
      </c>
      <c r="D11" s="4" t="s">
        <v>10</v>
      </c>
      <c r="E11" s="4" t="s">
        <v>11</v>
      </c>
      <c r="F11" s="4" t="s">
        <v>45</v>
      </c>
      <c r="G11" s="4"/>
      <c r="H11" s="4" t="s">
        <v>46</v>
      </c>
      <c r="I11" s="4">
        <v>9818</v>
      </c>
      <c r="J11" s="6" t="s">
        <v>167</v>
      </c>
    </row>
    <row r="12" spans="1:10" x14ac:dyDescent="0.25">
      <c r="A12" s="4">
        <v>11</v>
      </c>
      <c r="B12" s="4" t="s">
        <v>47</v>
      </c>
      <c r="C12" s="4"/>
      <c r="D12" s="4" t="s">
        <v>16</v>
      </c>
      <c r="E12" s="4" t="s">
        <v>17</v>
      </c>
      <c r="F12" s="4" t="s">
        <v>48</v>
      </c>
      <c r="G12" s="4">
        <f>91-6666666666</f>
        <v>-6666666575</v>
      </c>
      <c r="H12" s="4" t="s">
        <v>49</v>
      </c>
      <c r="I12" s="4">
        <v>41836</v>
      </c>
      <c r="J12" s="6" t="s">
        <v>168</v>
      </c>
    </row>
    <row r="13" spans="1:10" x14ac:dyDescent="0.25">
      <c r="A13" s="4">
        <v>12</v>
      </c>
      <c r="B13" s="4" t="s">
        <v>50</v>
      </c>
      <c r="C13" s="4">
        <v>29</v>
      </c>
      <c r="D13" s="4" t="s">
        <v>10</v>
      </c>
      <c r="E13" s="4" t="s">
        <v>17</v>
      </c>
      <c r="F13" s="4" t="s">
        <v>51</v>
      </c>
      <c r="G13" s="4">
        <f>91-5555555555</f>
        <v>-5555555464</v>
      </c>
      <c r="H13" s="4" t="s">
        <v>52</v>
      </c>
      <c r="I13" s="4">
        <v>11901</v>
      </c>
      <c r="J13" s="6" t="s">
        <v>169</v>
      </c>
    </row>
    <row r="14" spans="1:10" x14ac:dyDescent="0.25">
      <c r="A14" s="4">
        <v>13</v>
      </c>
      <c r="B14" s="7">
        <f>J14</f>
        <v>0</v>
      </c>
      <c r="C14" s="4">
        <v>26</v>
      </c>
      <c r="D14" s="4" t="s">
        <v>10</v>
      </c>
      <c r="E14" s="4" t="s">
        <v>53</v>
      </c>
      <c r="F14" s="4"/>
      <c r="G14" s="4">
        <f>91-7777777777</f>
        <v>-7777777686</v>
      </c>
      <c r="H14" s="4" t="s">
        <v>54</v>
      </c>
      <c r="I14" s="4">
        <v>46236</v>
      </c>
      <c r="J14" s="5"/>
    </row>
    <row r="15" spans="1:10" x14ac:dyDescent="0.25">
      <c r="A15" s="4">
        <v>14</v>
      </c>
      <c r="B15" s="4" t="s">
        <v>55</v>
      </c>
      <c r="C15" s="4">
        <v>28</v>
      </c>
      <c r="D15" s="4" t="s">
        <v>16</v>
      </c>
      <c r="E15" s="4" t="s">
        <v>56</v>
      </c>
      <c r="F15" s="4" t="s">
        <v>57</v>
      </c>
      <c r="G15" s="4"/>
      <c r="H15" s="4" t="s">
        <v>58</v>
      </c>
      <c r="I15" s="4">
        <v>21978</v>
      </c>
      <c r="J15" s="6" t="s">
        <v>170</v>
      </c>
    </row>
    <row r="16" spans="1:10" x14ac:dyDescent="0.25">
      <c r="A16" s="4">
        <v>15</v>
      </c>
      <c r="B16" s="7" t="str">
        <f>J16</f>
        <v>kavita.sharma</v>
      </c>
      <c r="C16" s="4">
        <v>30</v>
      </c>
      <c r="D16" s="4" t="s">
        <v>16</v>
      </c>
      <c r="E16" s="4" t="s">
        <v>59</v>
      </c>
      <c r="F16" s="4" t="s">
        <v>60</v>
      </c>
      <c r="G16" s="4">
        <f>91-8888888888</f>
        <v>-8888888797</v>
      </c>
      <c r="H16" s="4"/>
      <c r="I16" s="4">
        <v>49400</v>
      </c>
      <c r="J16" s="6" t="s">
        <v>171</v>
      </c>
    </row>
    <row r="17" spans="1:10" x14ac:dyDescent="0.25">
      <c r="A17" s="4">
        <v>16</v>
      </c>
      <c r="B17" s="4" t="s">
        <v>61</v>
      </c>
      <c r="C17" s="4">
        <v>32</v>
      </c>
      <c r="D17" s="4" t="s">
        <v>10</v>
      </c>
      <c r="E17" s="4" t="s">
        <v>62</v>
      </c>
      <c r="F17" s="4" t="s">
        <v>63</v>
      </c>
      <c r="G17" s="4">
        <f>91-1234567890</f>
        <v>-1234567799</v>
      </c>
      <c r="H17" s="4" t="s">
        <v>64</v>
      </c>
      <c r="I17" s="4">
        <v>28476</v>
      </c>
      <c r="J17" s="6" t="s">
        <v>172</v>
      </c>
    </row>
    <row r="18" spans="1:10" x14ac:dyDescent="0.25">
      <c r="A18" s="4">
        <v>17</v>
      </c>
      <c r="B18" s="4" t="s">
        <v>65</v>
      </c>
      <c r="C18" s="4">
        <v>26</v>
      </c>
      <c r="D18" s="4" t="s">
        <v>16</v>
      </c>
      <c r="E18" s="4" t="s">
        <v>66</v>
      </c>
      <c r="F18" s="4" t="s">
        <v>67</v>
      </c>
      <c r="G18" s="4">
        <f>91-8765432109</f>
        <v>-8765432018</v>
      </c>
      <c r="H18" s="4"/>
      <c r="I18" s="4">
        <v>40088</v>
      </c>
      <c r="J18" s="6" t="s">
        <v>173</v>
      </c>
    </row>
    <row r="19" spans="1:10" x14ac:dyDescent="0.25">
      <c r="A19" s="4">
        <v>18</v>
      </c>
      <c r="B19" s="4" t="s">
        <v>68</v>
      </c>
      <c r="C19" s="4">
        <v>28</v>
      </c>
      <c r="D19" s="4" t="s">
        <v>10</v>
      </c>
      <c r="E19" s="4" t="s">
        <v>34</v>
      </c>
      <c r="F19" s="4" t="s">
        <v>69</v>
      </c>
      <c r="G19" s="4">
        <f>91-9876543210</f>
        <v>-9876543119</v>
      </c>
      <c r="H19" s="4" t="s">
        <v>70</v>
      </c>
      <c r="I19" s="4">
        <v>2949</v>
      </c>
      <c r="J19" s="6" t="s">
        <v>174</v>
      </c>
    </row>
    <row r="20" spans="1:10" x14ac:dyDescent="0.25">
      <c r="A20" s="4">
        <v>19</v>
      </c>
      <c r="B20" s="4" t="s">
        <v>71</v>
      </c>
      <c r="C20" s="4">
        <v>30</v>
      </c>
      <c r="D20" s="4" t="s">
        <v>16</v>
      </c>
      <c r="E20" s="4" t="s">
        <v>34</v>
      </c>
      <c r="F20" s="4" t="s">
        <v>72</v>
      </c>
      <c r="G20" s="4">
        <f>91-5555555555</f>
        <v>-5555555464</v>
      </c>
      <c r="H20" s="4" t="s">
        <v>73</v>
      </c>
      <c r="I20" s="4">
        <v>3337</v>
      </c>
      <c r="J20" s="6" t="s">
        <v>175</v>
      </c>
    </row>
    <row r="21" spans="1:10" x14ac:dyDescent="0.25">
      <c r="A21" s="4">
        <v>20</v>
      </c>
      <c r="B21" s="7" t="str">
        <f>J21</f>
        <v>vikas.joshi</v>
      </c>
      <c r="C21" s="4">
        <v>32</v>
      </c>
      <c r="D21" s="4" t="s">
        <v>10</v>
      </c>
      <c r="E21" s="4" t="s">
        <v>59</v>
      </c>
      <c r="F21" s="4" t="s">
        <v>74</v>
      </c>
      <c r="G21" s="4">
        <f>91-9999999999</f>
        <v>-9999999908</v>
      </c>
      <c r="H21" s="4"/>
      <c r="I21" s="4">
        <v>2857</v>
      </c>
      <c r="J21" s="6" t="s">
        <v>176</v>
      </c>
    </row>
    <row r="22" spans="1:10" x14ac:dyDescent="0.25">
      <c r="A22" s="4">
        <v>21</v>
      </c>
      <c r="B22" s="4" t="s">
        <v>75</v>
      </c>
      <c r="C22" s="4">
        <v>26</v>
      </c>
      <c r="D22" s="4" t="s">
        <v>16</v>
      </c>
      <c r="E22" s="4" t="s">
        <v>62</v>
      </c>
      <c r="F22" s="4" t="s">
        <v>76</v>
      </c>
      <c r="G22" s="4"/>
      <c r="H22" s="4" t="s">
        <v>77</v>
      </c>
      <c r="I22" s="4">
        <v>35969</v>
      </c>
      <c r="J22" s="6" t="s">
        <v>177</v>
      </c>
    </row>
    <row r="23" spans="1:10" x14ac:dyDescent="0.25">
      <c r="A23" s="4">
        <v>22</v>
      </c>
      <c r="B23" s="4" t="s">
        <v>78</v>
      </c>
      <c r="C23" s="4">
        <v>33</v>
      </c>
      <c r="D23" s="4" t="s">
        <v>10</v>
      </c>
      <c r="E23" s="4" t="s">
        <v>66</v>
      </c>
      <c r="F23" s="4" t="s">
        <v>79</v>
      </c>
      <c r="G23" s="4">
        <f>91-8888888888</f>
        <v>-8888888797</v>
      </c>
      <c r="H23" s="4" t="s">
        <v>80</v>
      </c>
      <c r="I23" s="4">
        <v>49681</v>
      </c>
      <c r="J23" s="6" t="s">
        <v>178</v>
      </c>
    </row>
    <row r="24" spans="1:10" x14ac:dyDescent="0.25">
      <c r="A24" s="4">
        <v>23</v>
      </c>
      <c r="B24" s="7">
        <f>J24</f>
        <v>0</v>
      </c>
      <c r="C24" s="4">
        <v>27</v>
      </c>
      <c r="D24" s="4" t="s">
        <v>16</v>
      </c>
      <c r="E24" s="4" t="s">
        <v>34</v>
      </c>
      <c r="F24" s="4"/>
      <c r="G24" s="4">
        <f>91-7777777777</f>
        <v>-7777777686</v>
      </c>
      <c r="H24" s="4" t="s">
        <v>81</v>
      </c>
      <c r="I24" s="4">
        <v>45102</v>
      </c>
      <c r="J24" s="5"/>
    </row>
    <row r="25" spans="1:10" x14ac:dyDescent="0.25">
      <c r="A25" s="4">
        <v>24</v>
      </c>
      <c r="B25" s="4" t="s">
        <v>82</v>
      </c>
      <c r="C25" s="4">
        <v>29</v>
      </c>
      <c r="D25" s="4" t="s">
        <v>10</v>
      </c>
      <c r="E25" s="4" t="s">
        <v>11</v>
      </c>
      <c r="F25" s="4" t="s">
        <v>83</v>
      </c>
      <c r="G25" s="4" t="s">
        <v>84</v>
      </c>
      <c r="H25" s="4"/>
      <c r="I25" s="4">
        <v>15853</v>
      </c>
      <c r="J25" s="6" t="s">
        <v>179</v>
      </c>
    </row>
    <row r="26" spans="1:10" x14ac:dyDescent="0.25">
      <c r="A26" s="4">
        <v>25</v>
      </c>
      <c r="B26" s="4" t="s">
        <v>85</v>
      </c>
      <c r="C26" s="4"/>
      <c r="D26" s="4" t="s">
        <v>16</v>
      </c>
      <c r="E26" s="4" t="s">
        <v>17</v>
      </c>
      <c r="F26" s="4" t="s">
        <v>86</v>
      </c>
      <c r="G26" s="4">
        <f>91-5555555555</f>
        <v>-5555555464</v>
      </c>
      <c r="H26" s="4" t="s">
        <v>87</v>
      </c>
      <c r="I26" s="4">
        <v>6926</v>
      </c>
      <c r="J26" s="6" t="s">
        <v>180</v>
      </c>
    </row>
    <row r="27" spans="1:10" x14ac:dyDescent="0.25">
      <c r="A27" s="4">
        <v>26</v>
      </c>
      <c r="B27" s="4" t="s">
        <v>88</v>
      </c>
      <c r="C27" s="4">
        <v>31</v>
      </c>
      <c r="D27" s="4" t="s">
        <v>10</v>
      </c>
      <c r="E27" s="4" t="s">
        <v>59</v>
      </c>
      <c r="F27" s="4" t="s">
        <v>89</v>
      </c>
      <c r="G27" s="4"/>
      <c r="H27" s="4" t="s">
        <v>90</v>
      </c>
      <c r="I27" s="4">
        <v>45678</v>
      </c>
      <c r="J27" s="6" t="s">
        <v>181</v>
      </c>
    </row>
    <row r="28" spans="1:10" x14ac:dyDescent="0.25">
      <c r="A28" s="4">
        <v>27</v>
      </c>
      <c r="B28" s="4" t="s">
        <v>91</v>
      </c>
      <c r="C28" s="4">
        <v>28</v>
      </c>
      <c r="D28" s="4" t="s">
        <v>16</v>
      </c>
      <c r="E28" s="4" t="s">
        <v>62</v>
      </c>
      <c r="F28" s="4" t="s">
        <v>92</v>
      </c>
      <c r="G28" s="4">
        <f>91-7777777777</f>
        <v>-7777777686</v>
      </c>
      <c r="H28" s="4" t="s">
        <v>93</v>
      </c>
      <c r="I28" s="4">
        <v>8022</v>
      </c>
      <c r="J28" s="6" t="s">
        <v>182</v>
      </c>
    </row>
    <row r="29" spans="1:10" x14ac:dyDescent="0.25">
      <c r="A29" s="4">
        <v>28</v>
      </c>
      <c r="B29" s="4" t="s">
        <v>94</v>
      </c>
      <c r="C29" s="4">
        <v>34</v>
      </c>
      <c r="D29" s="4" t="s">
        <v>10</v>
      </c>
      <c r="E29" s="4" t="s">
        <v>66</v>
      </c>
      <c r="F29" s="4" t="s">
        <v>95</v>
      </c>
      <c r="G29" s="4">
        <f>91-8888888888</f>
        <v>-8888888797</v>
      </c>
      <c r="H29" s="4" t="s">
        <v>96</v>
      </c>
      <c r="I29" s="4">
        <v>3484</v>
      </c>
      <c r="J29" s="6" t="s">
        <v>183</v>
      </c>
    </row>
    <row r="30" spans="1:10" x14ac:dyDescent="0.25">
      <c r="A30" s="4">
        <v>29</v>
      </c>
      <c r="B30" s="4" t="s">
        <v>97</v>
      </c>
      <c r="C30" s="4">
        <v>26</v>
      </c>
      <c r="D30" s="4" t="s">
        <v>16</v>
      </c>
      <c r="E30" s="4" t="s">
        <v>22</v>
      </c>
      <c r="F30" s="4" t="s">
        <v>98</v>
      </c>
      <c r="G30" s="4">
        <f>91-7777777777</f>
        <v>-7777777686</v>
      </c>
      <c r="H30" s="4" t="s">
        <v>99</v>
      </c>
      <c r="I30" s="4">
        <v>11342</v>
      </c>
      <c r="J30" s="6" t="s">
        <v>184</v>
      </c>
    </row>
    <row r="31" spans="1:10" x14ac:dyDescent="0.25">
      <c r="A31" s="4">
        <v>30</v>
      </c>
      <c r="B31" s="7" t="str">
        <f>J31</f>
        <v>ankit.singh</v>
      </c>
      <c r="C31" s="4">
        <v>29</v>
      </c>
      <c r="D31" s="4" t="s">
        <v>10</v>
      </c>
      <c r="E31" s="4" t="s">
        <v>27</v>
      </c>
      <c r="F31" s="4" t="s">
        <v>100</v>
      </c>
      <c r="G31" s="4"/>
      <c r="H31" s="4" t="s">
        <v>101</v>
      </c>
      <c r="I31" s="4">
        <v>40940</v>
      </c>
      <c r="J31" s="6" t="s">
        <v>185</v>
      </c>
    </row>
    <row r="32" spans="1:10" x14ac:dyDescent="0.25">
      <c r="A32" s="4">
        <v>31</v>
      </c>
      <c r="B32" s="4" t="s">
        <v>42</v>
      </c>
      <c r="C32" s="4">
        <v>27</v>
      </c>
      <c r="D32" s="4" t="s">
        <v>16</v>
      </c>
      <c r="E32" s="4" t="s">
        <v>31</v>
      </c>
      <c r="F32" s="4" t="s">
        <v>102</v>
      </c>
      <c r="G32" s="4">
        <f>91-5555555555</f>
        <v>-5555555464</v>
      </c>
      <c r="H32" s="4"/>
      <c r="I32" s="4">
        <v>41841</v>
      </c>
      <c r="J32" s="6" t="s">
        <v>166</v>
      </c>
    </row>
    <row r="33" spans="1:10" x14ac:dyDescent="0.25">
      <c r="A33" s="4">
        <v>32</v>
      </c>
      <c r="B33" s="4" t="s">
        <v>103</v>
      </c>
      <c r="C33" s="4">
        <v>32</v>
      </c>
      <c r="D33" s="4" t="s">
        <v>10</v>
      </c>
      <c r="E33" s="4" t="s">
        <v>59</v>
      </c>
      <c r="F33" s="4" t="s">
        <v>104</v>
      </c>
      <c r="G33" s="4"/>
      <c r="H33" s="4" t="s">
        <v>105</v>
      </c>
      <c r="I33" s="4">
        <v>39835</v>
      </c>
      <c r="J33" s="6" t="s">
        <v>186</v>
      </c>
    </row>
    <row r="34" spans="1:10" x14ac:dyDescent="0.25">
      <c r="A34" s="4">
        <v>33</v>
      </c>
      <c r="B34" s="7" t="str">
        <f>J34</f>
        <v>sarika.patel</v>
      </c>
      <c r="C34" s="4">
        <v>33</v>
      </c>
      <c r="D34" s="4" t="s">
        <v>16</v>
      </c>
      <c r="E34" s="4" t="s">
        <v>62</v>
      </c>
      <c r="F34" s="4" t="s">
        <v>106</v>
      </c>
      <c r="G34" s="4">
        <f>91-6666666666</f>
        <v>-6666666575</v>
      </c>
      <c r="H34" s="4" t="s">
        <v>107</v>
      </c>
      <c r="I34" s="4">
        <v>9577</v>
      </c>
      <c r="J34" s="6" t="s">
        <v>187</v>
      </c>
    </row>
    <row r="35" spans="1:10" x14ac:dyDescent="0.25">
      <c r="A35" s="4">
        <v>34</v>
      </c>
      <c r="B35" s="4" t="s">
        <v>108</v>
      </c>
      <c r="C35" s="4">
        <v>30</v>
      </c>
      <c r="D35" s="4" t="s">
        <v>10</v>
      </c>
      <c r="E35" s="4" t="s">
        <v>66</v>
      </c>
      <c r="F35" s="4" t="s">
        <v>109</v>
      </c>
      <c r="G35" s="4"/>
      <c r="H35" s="4" t="s">
        <v>110</v>
      </c>
      <c r="I35" s="4">
        <v>29480</v>
      </c>
      <c r="J35" s="6" t="s">
        <v>188</v>
      </c>
    </row>
    <row r="36" spans="1:10" x14ac:dyDescent="0.25">
      <c r="A36" s="4">
        <v>35</v>
      </c>
      <c r="B36" s="4" t="s">
        <v>111</v>
      </c>
      <c r="C36" s="4"/>
      <c r="D36" s="4" t="s">
        <v>16</v>
      </c>
      <c r="E36" s="4" t="s">
        <v>22</v>
      </c>
      <c r="F36" s="4" t="s">
        <v>112</v>
      </c>
      <c r="G36" s="4">
        <f>91-5555555555</f>
        <v>-5555555464</v>
      </c>
      <c r="H36" s="4" t="s">
        <v>113</v>
      </c>
      <c r="I36" s="4">
        <v>14254</v>
      </c>
      <c r="J36" s="6" t="s">
        <v>189</v>
      </c>
    </row>
    <row r="37" spans="1:10" x14ac:dyDescent="0.25">
      <c r="A37" s="4">
        <v>36</v>
      </c>
      <c r="B37" s="4" t="s">
        <v>114</v>
      </c>
      <c r="C37" s="4">
        <v>29</v>
      </c>
      <c r="D37" s="4" t="s">
        <v>10</v>
      </c>
      <c r="E37" s="4" t="s">
        <v>27</v>
      </c>
      <c r="F37" s="4" t="s">
        <v>115</v>
      </c>
      <c r="G37" s="4">
        <f>91-7777777777</f>
        <v>-7777777686</v>
      </c>
      <c r="H37" s="4" t="s">
        <v>116</v>
      </c>
      <c r="I37" s="4">
        <v>37358</v>
      </c>
      <c r="J37" s="6" t="s">
        <v>190</v>
      </c>
    </row>
    <row r="38" spans="1:10" x14ac:dyDescent="0.25">
      <c r="A38" s="4">
        <v>37</v>
      </c>
      <c r="B38" s="7" t="str">
        <f>J38</f>
        <v>payal.sharma</v>
      </c>
      <c r="C38" s="4">
        <v>31</v>
      </c>
      <c r="D38" s="4" t="s">
        <v>16</v>
      </c>
      <c r="E38" s="4" t="s">
        <v>31</v>
      </c>
      <c r="F38" s="4" t="s">
        <v>117</v>
      </c>
      <c r="G38" s="4"/>
      <c r="H38" s="4" t="s">
        <v>118</v>
      </c>
      <c r="I38" s="4">
        <v>48367</v>
      </c>
      <c r="J38" s="6" t="s">
        <v>191</v>
      </c>
    </row>
    <row r="39" spans="1:10" x14ac:dyDescent="0.25">
      <c r="A39" s="4">
        <v>38</v>
      </c>
      <c r="B39" s="4" t="s">
        <v>119</v>
      </c>
      <c r="C39" s="4">
        <v>28</v>
      </c>
      <c r="D39" s="4" t="s">
        <v>10</v>
      </c>
      <c r="E39" s="4" t="s">
        <v>120</v>
      </c>
      <c r="F39" s="4" t="s">
        <v>121</v>
      </c>
      <c r="G39" s="4">
        <f>91-8888888888</f>
        <v>-8888888797</v>
      </c>
      <c r="H39" s="4" t="s">
        <v>122</v>
      </c>
      <c r="I39" s="4">
        <v>37473</v>
      </c>
      <c r="J39" s="6" t="s">
        <v>192</v>
      </c>
    </row>
    <row r="40" spans="1:10" x14ac:dyDescent="0.25">
      <c r="A40" s="4">
        <v>39</v>
      </c>
      <c r="B40" s="4" t="s">
        <v>123</v>
      </c>
      <c r="C40" s="4">
        <v>33</v>
      </c>
      <c r="D40" s="4" t="s">
        <v>16</v>
      </c>
      <c r="E40" s="4" t="s">
        <v>124</v>
      </c>
      <c r="F40" s="4" t="s">
        <v>125</v>
      </c>
      <c r="G40" s="4">
        <f>91-9999999999</f>
        <v>-9999999908</v>
      </c>
      <c r="H40" s="4" t="s">
        <v>126</v>
      </c>
      <c r="I40" s="4">
        <v>30628</v>
      </c>
      <c r="J40" s="6" t="s">
        <v>193</v>
      </c>
    </row>
    <row r="41" spans="1:10" x14ac:dyDescent="0.25">
      <c r="A41" s="4">
        <v>40</v>
      </c>
      <c r="B41" s="4" t="s">
        <v>127</v>
      </c>
      <c r="C41" s="4">
        <v>30</v>
      </c>
      <c r="D41" s="4" t="s">
        <v>10</v>
      </c>
      <c r="E41" s="4" t="s">
        <v>128</v>
      </c>
      <c r="F41" s="4" t="s">
        <v>129</v>
      </c>
      <c r="G41" s="4"/>
      <c r="H41" s="4" t="s">
        <v>130</v>
      </c>
      <c r="I41" s="4">
        <v>22018</v>
      </c>
      <c r="J41" s="6" t="s">
        <v>194</v>
      </c>
    </row>
    <row r="42" spans="1:10" x14ac:dyDescent="0.25">
      <c r="A42" s="4">
        <v>41</v>
      </c>
      <c r="B42" s="4" t="s">
        <v>131</v>
      </c>
      <c r="C42" s="4">
        <v>27</v>
      </c>
      <c r="D42" s="4" t="s">
        <v>16</v>
      </c>
      <c r="E42" s="4" t="s">
        <v>34</v>
      </c>
      <c r="F42" s="4" t="s">
        <v>132</v>
      </c>
      <c r="G42" s="4">
        <f>91-7777777777</f>
        <v>-7777777686</v>
      </c>
      <c r="H42" s="4" t="s">
        <v>133</v>
      </c>
      <c r="I42" s="4">
        <v>35747</v>
      </c>
      <c r="J42" s="6" t="s">
        <v>195</v>
      </c>
    </row>
    <row r="43" spans="1:10" x14ac:dyDescent="0.25">
      <c r="A43" s="4">
        <v>42</v>
      </c>
      <c r="B43" s="4" t="s">
        <v>134</v>
      </c>
      <c r="C43" s="4">
        <v>29</v>
      </c>
      <c r="D43" s="4" t="s">
        <v>10</v>
      </c>
      <c r="E43" s="4" t="s">
        <v>31</v>
      </c>
      <c r="F43" s="4" t="s">
        <v>135</v>
      </c>
      <c r="G43" s="4"/>
      <c r="H43" s="4" t="s">
        <v>136</v>
      </c>
      <c r="I43" s="4">
        <v>32258</v>
      </c>
      <c r="J43" s="6" t="s">
        <v>196</v>
      </c>
    </row>
    <row r="44" spans="1:10" x14ac:dyDescent="0.25">
      <c r="A44" s="4">
        <v>43</v>
      </c>
      <c r="B44" s="4" t="s">
        <v>137</v>
      </c>
      <c r="C44" s="4">
        <v>26</v>
      </c>
      <c r="D44" s="4" t="s">
        <v>16</v>
      </c>
      <c r="E44" s="4" t="s">
        <v>59</v>
      </c>
      <c r="F44" s="4" t="s">
        <v>138</v>
      </c>
      <c r="G44" s="4">
        <f>91-5555555555</f>
        <v>-5555555464</v>
      </c>
      <c r="H44" s="4" t="s">
        <v>139</v>
      </c>
      <c r="I44" s="4">
        <v>31047</v>
      </c>
      <c r="J44" s="6" t="s">
        <v>197</v>
      </c>
    </row>
    <row r="45" spans="1:10" x14ac:dyDescent="0.25">
      <c r="A45" s="4">
        <v>44</v>
      </c>
      <c r="B45" s="7" t="str">
        <f>J45</f>
        <v>mukesh.sharma</v>
      </c>
      <c r="C45" s="4">
        <v>28</v>
      </c>
      <c r="D45" s="4" t="s">
        <v>10</v>
      </c>
      <c r="E45" s="4" t="s">
        <v>62</v>
      </c>
      <c r="F45" s="4" t="s">
        <v>140</v>
      </c>
      <c r="G45" s="4"/>
      <c r="H45" s="4" t="s">
        <v>141</v>
      </c>
      <c r="I45" s="4">
        <v>31064</v>
      </c>
      <c r="J45" s="6" t="s">
        <v>198</v>
      </c>
    </row>
    <row r="46" spans="1:10" x14ac:dyDescent="0.25">
      <c r="A46" s="4">
        <v>45</v>
      </c>
      <c r="B46" s="4" t="s">
        <v>142</v>
      </c>
      <c r="C46" s="4">
        <v>31</v>
      </c>
      <c r="D46" s="4" t="s">
        <v>10</v>
      </c>
      <c r="E46" s="4" t="s">
        <v>66</v>
      </c>
      <c r="F46" s="4" t="s">
        <v>143</v>
      </c>
      <c r="G46" s="4">
        <f>91-8888888888</f>
        <v>-8888888797</v>
      </c>
      <c r="H46" s="4"/>
      <c r="I46" s="4">
        <v>3108</v>
      </c>
      <c r="J46" s="6" t="s">
        <v>199</v>
      </c>
    </row>
    <row r="47" spans="1:10" x14ac:dyDescent="0.25">
      <c r="A47" s="4">
        <v>46</v>
      </c>
      <c r="B47" s="4" t="s">
        <v>144</v>
      </c>
      <c r="C47" s="4">
        <v>27</v>
      </c>
      <c r="D47" s="4" t="s">
        <v>16</v>
      </c>
      <c r="E47" s="4" t="s">
        <v>120</v>
      </c>
      <c r="F47" s="4" t="s">
        <v>145</v>
      </c>
      <c r="G47" s="4">
        <f>91-7777777777</f>
        <v>-7777777686</v>
      </c>
      <c r="H47" s="4" t="s">
        <v>146</v>
      </c>
      <c r="I47" s="4">
        <v>20205</v>
      </c>
      <c r="J47" s="6" t="s">
        <v>200</v>
      </c>
    </row>
    <row r="48" spans="1:10" x14ac:dyDescent="0.25">
      <c r="A48" s="4">
        <v>47</v>
      </c>
      <c r="B48" s="7" t="str">
        <f>J48</f>
        <v>gaurav.kumar</v>
      </c>
      <c r="C48" s="4">
        <v>29</v>
      </c>
      <c r="D48" s="4" t="s">
        <v>10</v>
      </c>
      <c r="E48" s="4" t="s">
        <v>124</v>
      </c>
      <c r="F48" s="4" t="s">
        <v>147</v>
      </c>
      <c r="G48" s="4"/>
      <c r="H48" s="4" t="s">
        <v>148</v>
      </c>
      <c r="I48" s="4">
        <v>8746</v>
      </c>
      <c r="J48" s="6" t="s">
        <v>201</v>
      </c>
    </row>
    <row r="49" spans="1:10" x14ac:dyDescent="0.25">
      <c r="A49" s="4">
        <v>48</v>
      </c>
      <c r="B49" s="4" t="s">
        <v>149</v>
      </c>
      <c r="C49" s="4">
        <v>32</v>
      </c>
      <c r="D49" s="4" t="s">
        <v>16</v>
      </c>
      <c r="E49" s="4" t="s">
        <v>22</v>
      </c>
      <c r="F49" s="4" t="s">
        <v>150</v>
      </c>
      <c r="G49" s="4">
        <f>91-6666666666</f>
        <v>-6666666575</v>
      </c>
      <c r="H49" s="4" t="s">
        <v>151</v>
      </c>
      <c r="I49" s="4">
        <v>15531</v>
      </c>
      <c r="J49" s="6" t="s">
        <v>202</v>
      </c>
    </row>
    <row r="50" spans="1:10" x14ac:dyDescent="0.25">
      <c r="A50" s="4">
        <v>49</v>
      </c>
      <c r="B50" s="4" t="s">
        <v>152</v>
      </c>
      <c r="C50" s="4"/>
      <c r="D50" s="4" t="s">
        <v>10</v>
      </c>
      <c r="E50" s="4" t="s">
        <v>27</v>
      </c>
      <c r="F50" s="4" t="s">
        <v>153</v>
      </c>
      <c r="G50" s="4">
        <f>91-5555555555</f>
        <v>-5555555464</v>
      </c>
      <c r="H50" s="4" t="s">
        <v>154</v>
      </c>
      <c r="I50" s="4">
        <v>23055</v>
      </c>
      <c r="J50" s="6" t="s">
        <v>203</v>
      </c>
    </row>
    <row r="51" spans="1:10" x14ac:dyDescent="0.25">
      <c r="A51" s="4">
        <v>50</v>
      </c>
      <c r="B51" s="4" t="s">
        <v>155</v>
      </c>
      <c r="C51" s="4">
        <v>30</v>
      </c>
      <c r="D51" s="4" t="s">
        <v>16</v>
      </c>
      <c r="E51" s="4" t="s">
        <v>31</v>
      </c>
      <c r="F51" s="4" t="s">
        <v>156</v>
      </c>
      <c r="G51" s="4"/>
      <c r="H51" s="4" t="s">
        <v>157</v>
      </c>
      <c r="I51" s="4">
        <v>18647</v>
      </c>
      <c r="J51" s="6" t="s">
        <v>204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1"/>
  <sheetViews>
    <sheetView workbookViewId="0">
      <selection activeCell="K22" sqref="K22"/>
    </sheetView>
  </sheetViews>
  <sheetFormatPr defaultRowHeight="15" x14ac:dyDescent="0.25"/>
  <cols>
    <col min="2" max="2" width="13.140625" customWidth="1"/>
    <col min="5" max="5" width="19.42578125" customWidth="1"/>
    <col min="6" max="6" width="24.5703125" customWidth="1"/>
    <col min="7" max="7" width="20.28515625" customWidth="1"/>
    <col min="8" max="8" width="26" customWidth="1"/>
    <col min="9" max="9" width="10.28515625" customWidth="1"/>
  </cols>
  <sheetData>
    <row r="1" spans="1:13" ht="17.25" thickBot="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13" x14ac:dyDescent="0.25">
      <c r="A2" s="4">
        <v>1</v>
      </c>
      <c r="B2" s="4" t="s">
        <v>9</v>
      </c>
      <c r="C2" s="4">
        <v>32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>
        <v>4553</v>
      </c>
      <c r="L2" s="10" t="s">
        <v>205</v>
      </c>
      <c r="M2" s="10"/>
    </row>
    <row r="3" spans="1:13" x14ac:dyDescent="0.25">
      <c r="A3" s="4">
        <v>2</v>
      </c>
      <c r="B3" s="4" t="s">
        <v>15</v>
      </c>
      <c r="C3" s="4">
        <v>28</v>
      </c>
      <c r="D3" s="4" t="s">
        <v>16</v>
      </c>
      <c r="E3" s="4" t="s">
        <v>17</v>
      </c>
      <c r="F3" s="4" t="s">
        <v>18</v>
      </c>
      <c r="G3" s="4" t="s">
        <v>19</v>
      </c>
      <c r="H3" s="4" t="s">
        <v>20</v>
      </c>
      <c r="I3" s="4">
        <v>31169</v>
      </c>
      <c r="L3" s="8"/>
      <c r="M3" s="8"/>
    </row>
    <row r="4" spans="1:13" x14ac:dyDescent="0.25">
      <c r="A4" s="4">
        <v>3</v>
      </c>
      <c r="B4" s="4" t="s">
        <v>21</v>
      </c>
      <c r="C4" s="4">
        <v>27</v>
      </c>
      <c r="D4" s="4" t="s">
        <v>10</v>
      </c>
      <c r="E4" s="4" t="s">
        <v>22</v>
      </c>
      <c r="F4" s="4" t="s">
        <v>23</v>
      </c>
      <c r="G4" s="4" t="s">
        <v>24</v>
      </c>
      <c r="H4" s="4" t="s">
        <v>25</v>
      </c>
      <c r="I4" s="4">
        <v>11116</v>
      </c>
      <c r="L4" s="8" t="s">
        <v>206</v>
      </c>
      <c r="M4" s="8">
        <v>29.5</v>
      </c>
    </row>
    <row r="5" spans="1:13" x14ac:dyDescent="0.25">
      <c r="A5" s="4">
        <v>4</v>
      </c>
      <c r="B5" s="4" t="s">
        <v>26</v>
      </c>
      <c r="C5" s="4">
        <v>33</v>
      </c>
      <c r="D5" s="4" t="s">
        <v>16</v>
      </c>
      <c r="E5" s="4" t="s">
        <v>27</v>
      </c>
      <c r="F5" s="4" t="s">
        <v>28</v>
      </c>
      <c r="G5" s="4" t="s">
        <v>29</v>
      </c>
      <c r="H5" s="4" t="s">
        <v>30</v>
      </c>
      <c r="I5" s="4">
        <v>33457</v>
      </c>
      <c r="L5" s="8" t="s">
        <v>207</v>
      </c>
      <c r="M5" s="8">
        <v>0.37782750454196135</v>
      </c>
    </row>
    <row r="6" spans="1:13" x14ac:dyDescent="0.25">
      <c r="A6" s="4">
        <v>5</v>
      </c>
      <c r="B6" s="4"/>
      <c r="C6" s="4">
        <v>29</v>
      </c>
      <c r="D6" s="4" t="s">
        <v>16</v>
      </c>
      <c r="E6" s="4" t="s">
        <v>31</v>
      </c>
      <c r="F6" s="4" t="s">
        <v>32</v>
      </c>
      <c r="G6" s="4"/>
      <c r="H6" s="4"/>
      <c r="I6" s="4">
        <v>21918</v>
      </c>
      <c r="L6" s="8" t="s">
        <v>208</v>
      </c>
      <c r="M6" s="8">
        <v>29</v>
      </c>
    </row>
    <row r="7" spans="1:13" x14ac:dyDescent="0.25">
      <c r="A7" s="4">
        <v>6</v>
      </c>
      <c r="B7" s="4" t="s">
        <v>33</v>
      </c>
      <c r="C7" s="4">
        <v>34</v>
      </c>
      <c r="D7" s="4" t="s">
        <v>10</v>
      </c>
      <c r="E7" s="4" t="s">
        <v>34</v>
      </c>
      <c r="F7" s="4" t="s">
        <v>35</v>
      </c>
      <c r="G7" s="4"/>
      <c r="H7" s="4" t="s">
        <v>36</v>
      </c>
      <c r="I7" s="4">
        <v>33418</v>
      </c>
      <c r="L7" s="8" t="s">
        <v>209</v>
      </c>
      <c r="M7" s="8">
        <v>29</v>
      </c>
    </row>
    <row r="8" spans="1:13" x14ac:dyDescent="0.25">
      <c r="A8" s="4">
        <v>7</v>
      </c>
      <c r="B8" s="4" t="s">
        <v>37</v>
      </c>
      <c r="C8" s="4">
        <v>25</v>
      </c>
      <c r="D8" s="4" t="s">
        <v>16</v>
      </c>
      <c r="E8" s="4" t="s">
        <v>22</v>
      </c>
      <c r="F8" s="4"/>
      <c r="G8" s="4" t="s">
        <v>38</v>
      </c>
      <c r="H8" s="4" t="s">
        <v>39</v>
      </c>
      <c r="I8" s="4">
        <v>45828</v>
      </c>
      <c r="L8" s="8" t="s">
        <v>210</v>
      </c>
      <c r="M8" s="8">
        <v>2.5625508125043428</v>
      </c>
    </row>
    <row r="9" spans="1:13" x14ac:dyDescent="0.25">
      <c r="A9" s="4">
        <v>8</v>
      </c>
      <c r="B9" s="4" t="s">
        <v>40</v>
      </c>
      <c r="C9" s="4">
        <v>31</v>
      </c>
      <c r="D9" s="4" t="s">
        <v>10</v>
      </c>
      <c r="E9" s="4" t="s">
        <v>27</v>
      </c>
      <c r="F9" s="4" t="s">
        <v>41</v>
      </c>
      <c r="G9" s="4">
        <f>91-8888888888</f>
        <v>-8888888797</v>
      </c>
      <c r="H9" s="4"/>
      <c r="I9" s="4">
        <v>45450</v>
      </c>
      <c r="L9" s="8" t="s">
        <v>211</v>
      </c>
      <c r="M9" s="8">
        <v>6.5666666666666664</v>
      </c>
    </row>
    <row r="10" spans="1:13" x14ac:dyDescent="0.25">
      <c r="A10" s="4">
        <v>9</v>
      </c>
      <c r="B10" s="4" t="s">
        <v>42</v>
      </c>
      <c r="C10" s="4">
        <v>27</v>
      </c>
      <c r="D10" s="4" t="s">
        <v>16</v>
      </c>
      <c r="E10" s="4" t="s">
        <v>31</v>
      </c>
      <c r="F10" s="4" t="s">
        <v>43</v>
      </c>
      <c r="G10" s="4">
        <f>91-7777777777</f>
        <v>-7777777686</v>
      </c>
      <c r="H10" s="4" t="s">
        <v>44</v>
      </c>
      <c r="I10" s="4">
        <v>49938</v>
      </c>
      <c r="L10" s="8" t="s">
        <v>212</v>
      </c>
      <c r="M10" s="8">
        <v>-0.868957239872163</v>
      </c>
    </row>
    <row r="11" spans="1:13" x14ac:dyDescent="0.25">
      <c r="A11" s="4">
        <v>10</v>
      </c>
      <c r="B11" s="4"/>
      <c r="C11" s="4">
        <v>35</v>
      </c>
      <c r="D11" s="4" t="s">
        <v>10</v>
      </c>
      <c r="E11" s="4" t="s">
        <v>11</v>
      </c>
      <c r="F11" s="4" t="s">
        <v>45</v>
      </c>
      <c r="G11" s="4"/>
      <c r="H11" s="4" t="s">
        <v>46</v>
      </c>
      <c r="I11" s="4">
        <v>9818</v>
      </c>
      <c r="L11" s="8" t="s">
        <v>213</v>
      </c>
      <c r="M11" s="8">
        <v>0.26507966493290391</v>
      </c>
    </row>
    <row r="12" spans="1:13" x14ac:dyDescent="0.25">
      <c r="A12" s="4">
        <v>11</v>
      </c>
      <c r="B12" s="4" t="s">
        <v>47</v>
      </c>
      <c r="C12" s="4">
        <f>29.5</f>
        <v>29.5</v>
      </c>
      <c r="D12" s="4" t="s">
        <v>16</v>
      </c>
      <c r="E12" s="4" t="s">
        <v>17</v>
      </c>
      <c r="F12" s="4" t="s">
        <v>48</v>
      </c>
      <c r="G12" s="4">
        <f>91-6666666666</f>
        <v>-6666666575</v>
      </c>
      <c r="H12" s="4" t="s">
        <v>49</v>
      </c>
      <c r="I12" s="4">
        <v>41836</v>
      </c>
      <c r="L12" s="8" t="s">
        <v>214</v>
      </c>
      <c r="M12" s="8">
        <v>10</v>
      </c>
    </row>
    <row r="13" spans="1:13" x14ac:dyDescent="0.25">
      <c r="A13" s="4">
        <v>12</v>
      </c>
      <c r="B13" s="4" t="s">
        <v>50</v>
      </c>
      <c r="C13" s="4">
        <v>29</v>
      </c>
      <c r="D13" s="4" t="s">
        <v>10</v>
      </c>
      <c r="E13" s="4" t="s">
        <v>17</v>
      </c>
      <c r="F13" s="4" t="s">
        <v>51</v>
      </c>
      <c r="G13" s="4">
        <f>91-5555555555</f>
        <v>-5555555464</v>
      </c>
      <c r="H13" s="4" t="s">
        <v>52</v>
      </c>
      <c r="I13" s="4">
        <v>11901</v>
      </c>
      <c r="L13" s="8" t="s">
        <v>215</v>
      </c>
      <c r="M13" s="8">
        <v>25</v>
      </c>
    </row>
    <row r="14" spans="1:13" x14ac:dyDescent="0.25">
      <c r="A14" s="4">
        <v>13</v>
      </c>
      <c r="B14" s="4"/>
      <c r="C14" s="4">
        <v>26</v>
      </c>
      <c r="D14" s="4" t="s">
        <v>10</v>
      </c>
      <c r="E14" s="4" t="s">
        <v>53</v>
      </c>
      <c r="F14" s="4"/>
      <c r="G14" s="4">
        <f>91-7777777777</f>
        <v>-7777777686</v>
      </c>
      <c r="H14" s="4" t="s">
        <v>54</v>
      </c>
      <c r="I14" s="4">
        <v>46236</v>
      </c>
      <c r="L14" s="8" t="s">
        <v>216</v>
      </c>
      <c r="M14" s="8">
        <v>35</v>
      </c>
    </row>
    <row r="15" spans="1:13" x14ac:dyDescent="0.25">
      <c r="A15" s="4">
        <v>14</v>
      </c>
      <c r="B15" s="4" t="s">
        <v>55</v>
      </c>
      <c r="C15" s="4">
        <v>28</v>
      </c>
      <c r="D15" s="4" t="s">
        <v>16</v>
      </c>
      <c r="E15" s="4" t="s">
        <v>56</v>
      </c>
      <c r="F15" s="4" t="s">
        <v>57</v>
      </c>
      <c r="G15" s="4"/>
      <c r="H15" s="4" t="s">
        <v>58</v>
      </c>
      <c r="I15" s="4">
        <v>21978</v>
      </c>
      <c r="L15" s="8" t="s">
        <v>217</v>
      </c>
      <c r="M15" s="8">
        <v>1357</v>
      </c>
    </row>
    <row r="16" spans="1:13" ht="15.75" thickBot="1" x14ac:dyDescent="0.3">
      <c r="A16" s="4">
        <v>15</v>
      </c>
      <c r="B16" s="4"/>
      <c r="C16" s="4">
        <v>30</v>
      </c>
      <c r="D16" s="4" t="s">
        <v>16</v>
      </c>
      <c r="E16" s="4" t="s">
        <v>59</v>
      </c>
      <c r="F16" s="4" t="s">
        <v>60</v>
      </c>
      <c r="G16" s="4">
        <f>91-8888888888</f>
        <v>-8888888797</v>
      </c>
      <c r="H16" s="4"/>
      <c r="I16" s="4">
        <v>49400</v>
      </c>
      <c r="L16" s="9" t="s">
        <v>218</v>
      </c>
      <c r="M16" s="9">
        <v>46</v>
      </c>
    </row>
    <row r="17" spans="1:9" x14ac:dyDescent="0.25">
      <c r="A17" s="4">
        <v>16</v>
      </c>
      <c r="B17" s="4" t="s">
        <v>61</v>
      </c>
      <c r="C17" s="4">
        <v>32</v>
      </c>
      <c r="D17" s="4" t="s">
        <v>10</v>
      </c>
      <c r="E17" s="4" t="s">
        <v>62</v>
      </c>
      <c r="F17" s="4" t="s">
        <v>63</v>
      </c>
      <c r="G17" s="4">
        <f>91-1234567890</f>
        <v>-1234567799</v>
      </c>
      <c r="H17" s="4" t="s">
        <v>64</v>
      </c>
      <c r="I17" s="4">
        <v>28476</v>
      </c>
    </row>
    <row r="18" spans="1:9" x14ac:dyDescent="0.25">
      <c r="A18" s="4">
        <v>17</v>
      </c>
      <c r="B18" s="4" t="s">
        <v>65</v>
      </c>
      <c r="C18" s="4">
        <v>26</v>
      </c>
      <c r="D18" s="4" t="s">
        <v>16</v>
      </c>
      <c r="E18" s="4" t="s">
        <v>66</v>
      </c>
      <c r="F18" s="4" t="s">
        <v>67</v>
      </c>
      <c r="G18" s="4">
        <f>91-8765432109</f>
        <v>-8765432018</v>
      </c>
      <c r="H18" s="4"/>
      <c r="I18" s="4">
        <v>40088</v>
      </c>
    </row>
    <row r="19" spans="1:9" x14ac:dyDescent="0.25">
      <c r="A19" s="4">
        <v>18</v>
      </c>
      <c r="B19" s="4" t="s">
        <v>68</v>
      </c>
      <c r="C19" s="4">
        <v>28</v>
      </c>
      <c r="D19" s="4" t="s">
        <v>10</v>
      </c>
      <c r="E19" s="4" t="s">
        <v>34</v>
      </c>
      <c r="F19" s="4" t="s">
        <v>69</v>
      </c>
      <c r="G19" s="4">
        <f>91-9876543210</f>
        <v>-9876543119</v>
      </c>
      <c r="H19" s="4" t="s">
        <v>70</v>
      </c>
      <c r="I19" s="4">
        <v>2949</v>
      </c>
    </row>
    <row r="20" spans="1:9" x14ac:dyDescent="0.25">
      <c r="A20" s="4">
        <v>19</v>
      </c>
      <c r="B20" s="4" t="s">
        <v>71</v>
      </c>
      <c r="C20" s="4">
        <v>30</v>
      </c>
      <c r="D20" s="4" t="s">
        <v>16</v>
      </c>
      <c r="E20" s="4" t="s">
        <v>34</v>
      </c>
      <c r="F20" s="4" t="s">
        <v>72</v>
      </c>
      <c r="G20" s="4">
        <f>91-5555555555</f>
        <v>-5555555464</v>
      </c>
      <c r="H20" s="4" t="s">
        <v>73</v>
      </c>
      <c r="I20" s="4">
        <v>3337</v>
      </c>
    </row>
    <row r="21" spans="1:9" x14ac:dyDescent="0.25">
      <c r="A21" s="4">
        <v>20</v>
      </c>
      <c r="B21" s="4"/>
      <c r="C21" s="4">
        <v>32</v>
      </c>
      <c r="D21" s="4" t="s">
        <v>10</v>
      </c>
      <c r="E21" s="4" t="s">
        <v>59</v>
      </c>
      <c r="F21" s="4" t="s">
        <v>74</v>
      </c>
      <c r="G21" s="4">
        <f>91-9999999999</f>
        <v>-9999999908</v>
      </c>
      <c r="H21" s="4"/>
      <c r="I21" s="4">
        <v>2857</v>
      </c>
    </row>
    <row r="22" spans="1:9" x14ac:dyDescent="0.25">
      <c r="A22" s="4">
        <v>21</v>
      </c>
      <c r="B22" s="4" t="s">
        <v>75</v>
      </c>
      <c r="C22" s="4">
        <v>26</v>
      </c>
      <c r="D22" s="4" t="s">
        <v>16</v>
      </c>
      <c r="E22" s="4" t="s">
        <v>62</v>
      </c>
      <c r="F22" s="4" t="s">
        <v>76</v>
      </c>
      <c r="G22" s="4"/>
      <c r="H22" s="4" t="s">
        <v>77</v>
      </c>
      <c r="I22" s="4">
        <v>35969</v>
      </c>
    </row>
    <row r="23" spans="1:9" x14ac:dyDescent="0.25">
      <c r="A23" s="4">
        <v>22</v>
      </c>
      <c r="B23" s="4" t="s">
        <v>78</v>
      </c>
      <c r="C23" s="4">
        <v>33</v>
      </c>
      <c r="D23" s="4" t="s">
        <v>10</v>
      </c>
      <c r="E23" s="4" t="s">
        <v>66</v>
      </c>
      <c r="F23" s="4" t="s">
        <v>79</v>
      </c>
      <c r="G23" s="4">
        <f>91-8888888888</f>
        <v>-8888888797</v>
      </c>
      <c r="H23" s="4" t="s">
        <v>80</v>
      </c>
      <c r="I23" s="4">
        <v>49681</v>
      </c>
    </row>
    <row r="24" spans="1:9" x14ac:dyDescent="0.25">
      <c r="A24" s="4">
        <v>23</v>
      </c>
      <c r="B24" s="4"/>
      <c r="C24" s="4">
        <v>27</v>
      </c>
      <c r="D24" s="4" t="s">
        <v>16</v>
      </c>
      <c r="E24" s="4" t="s">
        <v>34</v>
      </c>
      <c r="F24" s="4"/>
      <c r="G24" s="4">
        <f>91-7777777777</f>
        <v>-7777777686</v>
      </c>
      <c r="H24" s="4" t="s">
        <v>81</v>
      </c>
      <c r="I24" s="4">
        <v>45102</v>
      </c>
    </row>
    <row r="25" spans="1:9" x14ac:dyDescent="0.25">
      <c r="A25" s="4">
        <v>24</v>
      </c>
      <c r="B25" s="4" t="s">
        <v>82</v>
      </c>
      <c r="C25" s="4">
        <v>29</v>
      </c>
      <c r="D25" s="4" t="s">
        <v>10</v>
      </c>
      <c r="E25" s="4" t="s">
        <v>11</v>
      </c>
      <c r="F25" s="4" t="s">
        <v>83</v>
      </c>
      <c r="G25" s="4" t="s">
        <v>84</v>
      </c>
      <c r="H25" s="4"/>
      <c r="I25" s="4">
        <v>15853</v>
      </c>
    </row>
    <row r="26" spans="1:9" x14ac:dyDescent="0.25">
      <c r="A26" s="4">
        <v>25</v>
      </c>
      <c r="B26" s="4" t="s">
        <v>85</v>
      </c>
      <c r="C26" s="4">
        <f>29.5</f>
        <v>29.5</v>
      </c>
      <c r="D26" s="4" t="s">
        <v>16</v>
      </c>
      <c r="E26" s="4" t="s">
        <v>17</v>
      </c>
      <c r="F26" s="4" t="s">
        <v>86</v>
      </c>
      <c r="G26" s="4">
        <f>91-5555555555</f>
        <v>-5555555464</v>
      </c>
      <c r="H26" s="4" t="s">
        <v>87</v>
      </c>
      <c r="I26" s="4">
        <v>6926</v>
      </c>
    </row>
    <row r="27" spans="1:9" x14ac:dyDescent="0.25">
      <c r="A27" s="4">
        <v>26</v>
      </c>
      <c r="B27" s="4" t="s">
        <v>88</v>
      </c>
      <c r="C27" s="4">
        <v>31</v>
      </c>
      <c r="D27" s="4" t="s">
        <v>10</v>
      </c>
      <c r="E27" s="4" t="s">
        <v>59</v>
      </c>
      <c r="F27" s="4" t="s">
        <v>89</v>
      </c>
      <c r="G27" s="4"/>
      <c r="H27" s="4" t="s">
        <v>90</v>
      </c>
      <c r="I27" s="4">
        <v>45678</v>
      </c>
    </row>
    <row r="28" spans="1:9" x14ac:dyDescent="0.25">
      <c r="A28" s="4">
        <v>27</v>
      </c>
      <c r="B28" s="4" t="s">
        <v>91</v>
      </c>
      <c r="C28" s="4">
        <v>28</v>
      </c>
      <c r="D28" s="4" t="s">
        <v>16</v>
      </c>
      <c r="E28" s="4" t="s">
        <v>62</v>
      </c>
      <c r="F28" s="4" t="s">
        <v>92</v>
      </c>
      <c r="G28" s="4">
        <f>91-7777777777</f>
        <v>-7777777686</v>
      </c>
      <c r="H28" s="4" t="s">
        <v>93</v>
      </c>
      <c r="I28" s="4">
        <v>8022</v>
      </c>
    </row>
    <row r="29" spans="1:9" x14ac:dyDescent="0.25">
      <c r="A29" s="4">
        <v>28</v>
      </c>
      <c r="B29" s="4" t="s">
        <v>94</v>
      </c>
      <c r="C29" s="4">
        <v>34</v>
      </c>
      <c r="D29" s="4" t="s">
        <v>10</v>
      </c>
      <c r="E29" s="4" t="s">
        <v>66</v>
      </c>
      <c r="F29" s="4" t="s">
        <v>95</v>
      </c>
      <c r="G29" s="4">
        <f>91-8888888888</f>
        <v>-8888888797</v>
      </c>
      <c r="H29" s="4" t="s">
        <v>96</v>
      </c>
      <c r="I29" s="4">
        <v>3484</v>
      </c>
    </row>
    <row r="30" spans="1:9" x14ac:dyDescent="0.25">
      <c r="A30" s="4">
        <v>29</v>
      </c>
      <c r="B30" s="4" t="s">
        <v>97</v>
      </c>
      <c r="C30" s="4">
        <v>26</v>
      </c>
      <c r="D30" s="4" t="s">
        <v>16</v>
      </c>
      <c r="E30" s="4" t="s">
        <v>22</v>
      </c>
      <c r="F30" s="4" t="s">
        <v>98</v>
      </c>
      <c r="G30" s="4">
        <f>91-7777777777</f>
        <v>-7777777686</v>
      </c>
      <c r="H30" s="4" t="s">
        <v>99</v>
      </c>
      <c r="I30" s="4">
        <v>11342</v>
      </c>
    </row>
    <row r="31" spans="1:9" x14ac:dyDescent="0.25">
      <c r="A31" s="4">
        <v>30</v>
      </c>
      <c r="B31" s="4"/>
      <c r="C31" s="4">
        <v>29</v>
      </c>
      <c r="D31" s="4" t="s">
        <v>10</v>
      </c>
      <c r="E31" s="4" t="s">
        <v>27</v>
      </c>
      <c r="F31" s="4" t="s">
        <v>100</v>
      </c>
      <c r="G31" s="4"/>
      <c r="H31" s="4" t="s">
        <v>101</v>
      </c>
      <c r="I31" s="4">
        <v>40940</v>
      </c>
    </row>
    <row r="32" spans="1:9" x14ac:dyDescent="0.25">
      <c r="A32" s="4">
        <v>31</v>
      </c>
      <c r="B32" s="4" t="s">
        <v>42</v>
      </c>
      <c r="C32" s="4">
        <v>27</v>
      </c>
      <c r="D32" s="4" t="s">
        <v>16</v>
      </c>
      <c r="E32" s="4" t="s">
        <v>31</v>
      </c>
      <c r="F32" s="4" t="s">
        <v>102</v>
      </c>
      <c r="G32" s="4">
        <f>91-5555555555</f>
        <v>-5555555464</v>
      </c>
      <c r="H32" s="4"/>
      <c r="I32" s="4">
        <v>41841</v>
      </c>
    </row>
    <row r="33" spans="1:9" x14ac:dyDescent="0.25">
      <c r="A33" s="4">
        <v>32</v>
      </c>
      <c r="B33" s="4" t="s">
        <v>103</v>
      </c>
      <c r="C33" s="4">
        <v>32</v>
      </c>
      <c r="D33" s="4" t="s">
        <v>10</v>
      </c>
      <c r="E33" s="4" t="s">
        <v>59</v>
      </c>
      <c r="F33" s="4" t="s">
        <v>104</v>
      </c>
      <c r="G33" s="4"/>
      <c r="H33" s="4" t="s">
        <v>105</v>
      </c>
      <c r="I33" s="4">
        <v>39835</v>
      </c>
    </row>
    <row r="34" spans="1:9" x14ac:dyDescent="0.25">
      <c r="A34" s="4">
        <v>33</v>
      </c>
      <c r="B34" s="4"/>
      <c r="C34" s="4">
        <v>33</v>
      </c>
      <c r="D34" s="4" t="s">
        <v>16</v>
      </c>
      <c r="E34" s="4" t="s">
        <v>62</v>
      </c>
      <c r="F34" s="4" t="s">
        <v>106</v>
      </c>
      <c r="G34" s="4">
        <f>91-6666666666</f>
        <v>-6666666575</v>
      </c>
      <c r="H34" s="4" t="s">
        <v>107</v>
      </c>
      <c r="I34" s="4">
        <v>9577</v>
      </c>
    </row>
    <row r="35" spans="1:9" x14ac:dyDescent="0.25">
      <c r="A35" s="4">
        <v>34</v>
      </c>
      <c r="B35" s="4" t="s">
        <v>108</v>
      </c>
      <c r="C35" s="4">
        <v>30</v>
      </c>
      <c r="D35" s="4" t="s">
        <v>10</v>
      </c>
      <c r="E35" s="4" t="s">
        <v>66</v>
      </c>
      <c r="F35" s="4" t="s">
        <v>109</v>
      </c>
      <c r="G35" s="4"/>
      <c r="H35" s="4" t="s">
        <v>110</v>
      </c>
      <c r="I35" s="4">
        <v>29480</v>
      </c>
    </row>
    <row r="36" spans="1:9" x14ac:dyDescent="0.25">
      <c r="A36" s="4">
        <v>35</v>
      </c>
      <c r="B36" s="4" t="s">
        <v>111</v>
      </c>
      <c r="C36" s="4">
        <f>29.5</f>
        <v>29.5</v>
      </c>
      <c r="D36" s="4" t="s">
        <v>16</v>
      </c>
      <c r="E36" s="4" t="s">
        <v>22</v>
      </c>
      <c r="F36" s="4" t="s">
        <v>112</v>
      </c>
      <c r="G36" s="4">
        <f>91-5555555555</f>
        <v>-5555555464</v>
      </c>
      <c r="H36" s="4" t="s">
        <v>113</v>
      </c>
      <c r="I36" s="4">
        <v>14254</v>
      </c>
    </row>
    <row r="37" spans="1:9" x14ac:dyDescent="0.25">
      <c r="A37" s="4">
        <v>36</v>
      </c>
      <c r="B37" s="4" t="s">
        <v>114</v>
      </c>
      <c r="C37" s="4">
        <v>29</v>
      </c>
      <c r="D37" s="4" t="s">
        <v>10</v>
      </c>
      <c r="E37" s="4" t="s">
        <v>27</v>
      </c>
      <c r="F37" s="4" t="s">
        <v>115</v>
      </c>
      <c r="G37" s="4">
        <f>91-7777777777</f>
        <v>-7777777686</v>
      </c>
      <c r="H37" s="4" t="s">
        <v>116</v>
      </c>
      <c r="I37" s="4">
        <v>37358</v>
      </c>
    </row>
    <row r="38" spans="1:9" x14ac:dyDescent="0.25">
      <c r="A38" s="4">
        <v>37</v>
      </c>
      <c r="B38" s="4"/>
      <c r="C38" s="4">
        <v>31</v>
      </c>
      <c r="D38" s="4" t="s">
        <v>16</v>
      </c>
      <c r="E38" s="4" t="s">
        <v>31</v>
      </c>
      <c r="F38" s="4" t="s">
        <v>117</v>
      </c>
      <c r="G38" s="4"/>
      <c r="H38" s="4" t="s">
        <v>118</v>
      </c>
      <c r="I38" s="4">
        <v>48367</v>
      </c>
    </row>
    <row r="39" spans="1:9" x14ac:dyDescent="0.25">
      <c r="A39" s="4">
        <v>38</v>
      </c>
      <c r="B39" s="4" t="s">
        <v>119</v>
      </c>
      <c r="C39" s="4">
        <v>28</v>
      </c>
      <c r="D39" s="4" t="s">
        <v>10</v>
      </c>
      <c r="E39" s="4" t="s">
        <v>120</v>
      </c>
      <c r="F39" s="4" t="s">
        <v>121</v>
      </c>
      <c r="G39" s="4">
        <f>91-8888888888</f>
        <v>-8888888797</v>
      </c>
      <c r="H39" s="4" t="s">
        <v>122</v>
      </c>
      <c r="I39" s="4">
        <v>37473</v>
      </c>
    </row>
    <row r="40" spans="1:9" x14ac:dyDescent="0.25">
      <c r="A40" s="4">
        <v>39</v>
      </c>
      <c r="B40" s="4" t="s">
        <v>123</v>
      </c>
      <c r="C40" s="4">
        <v>33</v>
      </c>
      <c r="D40" s="4" t="s">
        <v>16</v>
      </c>
      <c r="E40" s="4" t="s">
        <v>124</v>
      </c>
      <c r="F40" s="4" t="s">
        <v>125</v>
      </c>
      <c r="G40" s="4">
        <f>91-9999999999</f>
        <v>-9999999908</v>
      </c>
      <c r="H40" s="4" t="s">
        <v>126</v>
      </c>
      <c r="I40" s="4">
        <v>30628</v>
      </c>
    </row>
    <row r="41" spans="1:9" x14ac:dyDescent="0.25">
      <c r="A41" s="4">
        <v>40</v>
      </c>
      <c r="B41" s="4" t="s">
        <v>127</v>
      </c>
      <c r="C41" s="4">
        <v>30</v>
      </c>
      <c r="D41" s="4" t="s">
        <v>10</v>
      </c>
      <c r="E41" s="4" t="s">
        <v>128</v>
      </c>
      <c r="F41" s="4" t="s">
        <v>129</v>
      </c>
      <c r="G41" s="4"/>
      <c r="H41" s="4" t="s">
        <v>130</v>
      </c>
      <c r="I41" s="4">
        <v>22018</v>
      </c>
    </row>
    <row r="42" spans="1:9" x14ac:dyDescent="0.25">
      <c r="A42" s="4">
        <v>41</v>
      </c>
      <c r="B42" s="4" t="s">
        <v>131</v>
      </c>
      <c r="C42" s="4">
        <v>27</v>
      </c>
      <c r="D42" s="4" t="s">
        <v>16</v>
      </c>
      <c r="E42" s="4" t="s">
        <v>34</v>
      </c>
      <c r="F42" s="4" t="s">
        <v>132</v>
      </c>
      <c r="G42" s="4">
        <f>91-7777777777</f>
        <v>-7777777686</v>
      </c>
      <c r="H42" s="4" t="s">
        <v>133</v>
      </c>
      <c r="I42" s="4">
        <v>35747</v>
      </c>
    </row>
    <row r="43" spans="1:9" x14ac:dyDescent="0.25">
      <c r="A43" s="4">
        <v>42</v>
      </c>
      <c r="B43" s="4" t="s">
        <v>134</v>
      </c>
      <c r="C43" s="4">
        <v>29</v>
      </c>
      <c r="D43" s="4" t="s">
        <v>10</v>
      </c>
      <c r="E43" s="4" t="s">
        <v>31</v>
      </c>
      <c r="F43" s="4" t="s">
        <v>135</v>
      </c>
      <c r="G43" s="4"/>
      <c r="H43" s="4" t="s">
        <v>136</v>
      </c>
      <c r="I43" s="4">
        <v>32258</v>
      </c>
    </row>
    <row r="44" spans="1:9" x14ac:dyDescent="0.25">
      <c r="A44" s="4">
        <v>43</v>
      </c>
      <c r="B44" s="4" t="s">
        <v>137</v>
      </c>
      <c r="C44" s="4">
        <v>26</v>
      </c>
      <c r="D44" s="4" t="s">
        <v>16</v>
      </c>
      <c r="E44" s="4" t="s">
        <v>59</v>
      </c>
      <c r="F44" s="4" t="s">
        <v>138</v>
      </c>
      <c r="G44" s="4">
        <f>91-5555555555</f>
        <v>-5555555464</v>
      </c>
      <c r="H44" s="4" t="s">
        <v>139</v>
      </c>
      <c r="I44" s="4">
        <v>31047</v>
      </c>
    </row>
    <row r="45" spans="1:9" x14ac:dyDescent="0.25">
      <c r="A45" s="4">
        <v>44</v>
      </c>
      <c r="B45" s="4"/>
      <c r="C45" s="4">
        <v>28</v>
      </c>
      <c r="D45" s="4" t="s">
        <v>10</v>
      </c>
      <c r="E45" s="4" t="s">
        <v>62</v>
      </c>
      <c r="F45" s="4" t="s">
        <v>140</v>
      </c>
      <c r="G45" s="4"/>
      <c r="H45" s="4" t="s">
        <v>141</v>
      </c>
      <c r="I45" s="4">
        <v>31064</v>
      </c>
    </row>
    <row r="46" spans="1:9" x14ac:dyDescent="0.25">
      <c r="A46" s="4">
        <v>45</v>
      </c>
      <c r="B46" s="4" t="s">
        <v>142</v>
      </c>
      <c r="C46" s="4">
        <v>31</v>
      </c>
      <c r="D46" s="4" t="s">
        <v>10</v>
      </c>
      <c r="E46" s="4" t="s">
        <v>66</v>
      </c>
      <c r="F46" s="4" t="s">
        <v>143</v>
      </c>
      <c r="G46" s="4">
        <f>91-8888888888</f>
        <v>-8888888797</v>
      </c>
      <c r="H46" s="4"/>
      <c r="I46" s="4">
        <v>3108</v>
      </c>
    </row>
    <row r="47" spans="1:9" x14ac:dyDescent="0.25">
      <c r="A47" s="4">
        <v>46</v>
      </c>
      <c r="B47" s="4" t="s">
        <v>144</v>
      </c>
      <c r="C47" s="4">
        <v>27</v>
      </c>
      <c r="D47" s="4" t="s">
        <v>16</v>
      </c>
      <c r="E47" s="4" t="s">
        <v>120</v>
      </c>
      <c r="F47" s="4" t="s">
        <v>145</v>
      </c>
      <c r="G47" s="4">
        <f>91-7777777777</f>
        <v>-7777777686</v>
      </c>
      <c r="H47" s="4" t="s">
        <v>146</v>
      </c>
      <c r="I47" s="4">
        <v>20205</v>
      </c>
    </row>
    <row r="48" spans="1:9" x14ac:dyDescent="0.25">
      <c r="A48" s="4">
        <v>47</v>
      </c>
      <c r="B48" s="4"/>
      <c r="C48" s="4">
        <v>29</v>
      </c>
      <c r="D48" s="4" t="s">
        <v>10</v>
      </c>
      <c r="E48" s="4" t="s">
        <v>124</v>
      </c>
      <c r="F48" s="4" t="s">
        <v>147</v>
      </c>
      <c r="G48" s="4"/>
      <c r="H48" s="4" t="s">
        <v>148</v>
      </c>
      <c r="I48" s="4">
        <v>8746</v>
      </c>
    </row>
    <row r="49" spans="1:9" x14ac:dyDescent="0.25">
      <c r="A49" s="4">
        <v>48</v>
      </c>
      <c r="B49" s="4" t="s">
        <v>149</v>
      </c>
      <c r="C49" s="4">
        <v>32</v>
      </c>
      <c r="D49" s="4" t="s">
        <v>16</v>
      </c>
      <c r="E49" s="4" t="s">
        <v>22</v>
      </c>
      <c r="F49" s="4" t="s">
        <v>150</v>
      </c>
      <c r="G49" s="4">
        <f>91-6666666666</f>
        <v>-6666666575</v>
      </c>
      <c r="H49" s="4" t="s">
        <v>151</v>
      </c>
      <c r="I49" s="4">
        <v>15531</v>
      </c>
    </row>
    <row r="50" spans="1:9" x14ac:dyDescent="0.25">
      <c r="A50" s="4">
        <v>49</v>
      </c>
      <c r="B50" s="4" t="s">
        <v>152</v>
      </c>
      <c r="C50" s="4">
        <f>29.5</f>
        <v>29.5</v>
      </c>
      <c r="D50" s="4" t="s">
        <v>10</v>
      </c>
      <c r="E50" s="4" t="s">
        <v>27</v>
      </c>
      <c r="F50" s="4" t="s">
        <v>153</v>
      </c>
      <c r="G50" s="4">
        <f>91-5555555555</f>
        <v>-5555555464</v>
      </c>
      <c r="H50" s="4" t="s">
        <v>154</v>
      </c>
      <c r="I50" s="4">
        <v>23055</v>
      </c>
    </row>
    <row r="51" spans="1:9" x14ac:dyDescent="0.25">
      <c r="A51" s="4">
        <v>50</v>
      </c>
      <c r="B51" s="4" t="s">
        <v>155</v>
      </c>
      <c r="C51" s="4">
        <v>30</v>
      </c>
      <c r="D51" s="4" t="s">
        <v>16</v>
      </c>
      <c r="E51" s="4" t="s">
        <v>31</v>
      </c>
      <c r="F51" s="4" t="s">
        <v>156</v>
      </c>
      <c r="G51" s="4"/>
      <c r="H51" s="4" t="s">
        <v>157</v>
      </c>
      <c r="I51" s="4">
        <v>18647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1"/>
  <sheetViews>
    <sheetView workbookViewId="0">
      <selection activeCell="K6" sqref="K6"/>
    </sheetView>
  </sheetViews>
  <sheetFormatPr defaultRowHeight="15" x14ac:dyDescent="0.25"/>
  <cols>
    <col min="5" max="5" width="15.85546875" customWidth="1"/>
    <col min="6" max="6" width="22.42578125" customWidth="1"/>
    <col min="7" max="7" width="22" customWidth="1"/>
    <col min="8" max="8" width="38.42578125" customWidth="1"/>
  </cols>
  <sheetData>
    <row r="1" spans="1:9" ht="16.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25">
      <c r="A2" s="4">
        <v>1</v>
      </c>
      <c r="B2" s="4" t="s">
        <v>9</v>
      </c>
      <c r="C2" s="4">
        <v>32</v>
      </c>
      <c r="D2" s="4" t="s">
        <v>10</v>
      </c>
      <c r="E2" s="4" t="s">
        <v>11</v>
      </c>
      <c r="F2" s="4" t="s">
        <v>12</v>
      </c>
      <c r="G2" s="11">
        <v>1234567890</v>
      </c>
      <c r="H2" s="4" t="s">
        <v>14</v>
      </c>
      <c r="I2" s="4">
        <v>4553</v>
      </c>
    </row>
    <row r="3" spans="1:9" x14ac:dyDescent="0.25">
      <c r="A3" s="4">
        <v>2</v>
      </c>
      <c r="B3" s="4" t="s">
        <v>15</v>
      </c>
      <c r="C3" s="4">
        <v>28</v>
      </c>
      <c r="D3" s="4" t="s">
        <v>16</v>
      </c>
      <c r="E3" s="4" t="s">
        <v>17</v>
      </c>
      <c r="F3" s="4" t="s">
        <v>18</v>
      </c>
      <c r="G3" s="11">
        <v>9876543210</v>
      </c>
      <c r="H3" s="4" t="s">
        <v>20</v>
      </c>
      <c r="I3" s="4">
        <v>31169</v>
      </c>
    </row>
    <row r="4" spans="1:9" x14ac:dyDescent="0.25">
      <c r="A4" s="4">
        <v>3</v>
      </c>
      <c r="B4" s="4" t="s">
        <v>21</v>
      </c>
      <c r="C4" s="4">
        <v>27</v>
      </c>
      <c r="D4" s="4" t="s">
        <v>10</v>
      </c>
      <c r="E4" s="4" t="s">
        <v>22</v>
      </c>
      <c r="F4" s="4" t="s">
        <v>23</v>
      </c>
      <c r="G4" s="11">
        <v>8765432109</v>
      </c>
      <c r="H4" s="4" t="s">
        <v>25</v>
      </c>
      <c r="I4" s="4">
        <v>11116</v>
      </c>
    </row>
    <row r="5" spans="1:9" x14ac:dyDescent="0.25">
      <c r="A5" s="4">
        <v>4</v>
      </c>
      <c r="B5" s="4" t="s">
        <v>26</v>
      </c>
      <c r="C5" s="4">
        <v>33</v>
      </c>
      <c r="D5" s="4" t="s">
        <v>16</v>
      </c>
      <c r="E5" s="4" t="s">
        <v>27</v>
      </c>
      <c r="F5" s="4" t="s">
        <v>28</v>
      </c>
      <c r="G5" s="11">
        <v>5555555555</v>
      </c>
      <c r="H5" s="4" t="s">
        <v>30</v>
      </c>
      <c r="I5" s="4">
        <v>33457</v>
      </c>
    </row>
    <row r="6" spans="1:9" x14ac:dyDescent="0.25">
      <c r="A6" s="4">
        <v>5</v>
      </c>
      <c r="B6" s="4"/>
      <c r="C6" s="4">
        <v>29</v>
      </c>
      <c r="D6" s="4" t="s">
        <v>16</v>
      </c>
      <c r="E6" s="4" t="s">
        <v>31</v>
      </c>
      <c r="F6" s="4" t="s">
        <v>32</v>
      </c>
      <c r="G6" s="11">
        <f t="shared" ref="G6:G7" si="0">9876543210</f>
        <v>9876543210</v>
      </c>
      <c r="H6" s="4"/>
      <c r="I6" s="4">
        <v>21918</v>
      </c>
    </row>
    <row r="7" spans="1:9" x14ac:dyDescent="0.25">
      <c r="A7" s="4">
        <v>6</v>
      </c>
      <c r="B7" s="4" t="s">
        <v>33</v>
      </c>
      <c r="C7" s="4">
        <v>34</v>
      </c>
      <c r="D7" s="4" t="s">
        <v>10</v>
      </c>
      <c r="E7" s="4" t="s">
        <v>34</v>
      </c>
      <c r="F7" s="4" t="s">
        <v>35</v>
      </c>
      <c r="G7" s="11">
        <f t="shared" si="0"/>
        <v>9876543210</v>
      </c>
      <c r="H7" s="4" t="s">
        <v>36</v>
      </c>
      <c r="I7" s="4">
        <v>33418</v>
      </c>
    </row>
    <row r="8" spans="1:9" x14ac:dyDescent="0.25">
      <c r="A8" s="4">
        <v>7</v>
      </c>
      <c r="B8" s="4" t="s">
        <v>37</v>
      </c>
      <c r="C8" s="4">
        <v>25</v>
      </c>
      <c r="D8" s="4" t="s">
        <v>16</v>
      </c>
      <c r="E8" s="4" t="s">
        <v>22</v>
      </c>
      <c r="F8" s="4"/>
      <c r="G8" s="11">
        <v>9999999999</v>
      </c>
      <c r="H8" s="4" t="s">
        <v>39</v>
      </c>
      <c r="I8" s="4">
        <v>45828</v>
      </c>
    </row>
    <row r="9" spans="1:9" x14ac:dyDescent="0.25">
      <c r="A9" s="4">
        <v>8</v>
      </c>
      <c r="B9" s="4" t="s">
        <v>40</v>
      </c>
      <c r="C9" s="4">
        <v>31</v>
      </c>
      <c r="D9" s="4" t="s">
        <v>10</v>
      </c>
      <c r="E9" s="4" t="s">
        <v>27</v>
      </c>
      <c r="F9" s="4" t="s">
        <v>41</v>
      </c>
      <c r="G9" s="11">
        <f>8888888888</f>
        <v>8888888888</v>
      </c>
      <c r="H9" s="4"/>
      <c r="I9" s="4">
        <v>45450</v>
      </c>
    </row>
    <row r="10" spans="1:9" x14ac:dyDescent="0.25">
      <c r="A10" s="4">
        <v>9</v>
      </c>
      <c r="B10" s="4" t="s">
        <v>42</v>
      </c>
      <c r="C10" s="4">
        <v>27</v>
      </c>
      <c r="D10" s="4" t="s">
        <v>16</v>
      </c>
      <c r="E10" s="4" t="s">
        <v>31</v>
      </c>
      <c r="F10" s="4" t="s">
        <v>43</v>
      </c>
      <c r="G10" s="11">
        <f>7777777777</f>
        <v>7777777777</v>
      </c>
      <c r="H10" s="4" t="s">
        <v>44</v>
      </c>
      <c r="I10" s="4">
        <v>49938</v>
      </c>
    </row>
    <row r="11" spans="1:9" x14ac:dyDescent="0.25">
      <c r="A11" s="4">
        <v>10</v>
      </c>
      <c r="B11" s="4"/>
      <c r="C11" s="4">
        <v>35</v>
      </c>
      <c r="D11" s="4" t="s">
        <v>10</v>
      </c>
      <c r="E11" s="4" t="s">
        <v>11</v>
      </c>
      <c r="F11" s="4" t="s">
        <v>45</v>
      </c>
      <c r="G11" s="11">
        <f>9876543210</f>
        <v>9876543210</v>
      </c>
      <c r="H11" s="4" t="s">
        <v>46</v>
      </c>
      <c r="I11" s="4">
        <v>9818</v>
      </c>
    </row>
    <row r="12" spans="1:9" x14ac:dyDescent="0.25">
      <c r="A12" s="4">
        <v>11</v>
      </c>
      <c r="B12" s="4" t="s">
        <v>47</v>
      </c>
      <c r="C12" s="4"/>
      <c r="D12" s="4" t="s">
        <v>16</v>
      </c>
      <c r="E12" s="4" t="s">
        <v>17</v>
      </c>
      <c r="F12" s="4" t="s">
        <v>48</v>
      </c>
      <c r="G12" s="11">
        <f>6666666666</f>
        <v>6666666666</v>
      </c>
      <c r="H12" s="4" t="s">
        <v>49</v>
      </c>
      <c r="I12" s="4">
        <v>41836</v>
      </c>
    </row>
    <row r="13" spans="1:9" x14ac:dyDescent="0.25">
      <c r="A13" s="4">
        <v>12</v>
      </c>
      <c r="B13" s="4" t="s">
        <v>50</v>
      </c>
      <c r="C13" s="4">
        <v>29</v>
      </c>
      <c r="D13" s="4" t="s">
        <v>10</v>
      </c>
      <c r="E13" s="4" t="s">
        <v>17</v>
      </c>
      <c r="F13" s="4" t="s">
        <v>51</v>
      </c>
      <c r="G13" s="11">
        <f>5555555555</f>
        <v>5555555555</v>
      </c>
      <c r="H13" s="4" t="s">
        <v>52</v>
      </c>
      <c r="I13" s="4">
        <v>11901</v>
      </c>
    </row>
    <row r="14" spans="1:9" x14ac:dyDescent="0.25">
      <c r="A14" s="4">
        <v>13</v>
      </c>
      <c r="B14" s="4"/>
      <c r="C14" s="4">
        <v>26</v>
      </c>
      <c r="D14" s="4" t="s">
        <v>10</v>
      </c>
      <c r="E14" s="4" t="s">
        <v>53</v>
      </c>
      <c r="F14" s="4"/>
      <c r="G14" s="11">
        <f>7777777777</f>
        <v>7777777777</v>
      </c>
      <c r="H14" s="4" t="s">
        <v>54</v>
      </c>
      <c r="I14" s="4">
        <v>46236</v>
      </c>
    </row>
    <row r="15" spans="1:9" x14ac:dyDescent="0.25">
      <c r="A15" s="4">
        <v>14</v>
      </c>
      <c r="B15" s="4" t="s">
        <v>55</v>
      </c>
      <c r="C15" s="4">
        <v>28</v>
      </c>
      <c r="D15" s="4" t="s">
        <v>16</v>
      </c>
      <c r="E15" s="4" t="s">
        <v>56</v>
      </c>
      <c r="F15" s="4" t="s">
        <v>57</v>
      </c>
      <c r="G15" s="11">
        <f>9876543210</f>
        <v>9876543210</v>
      </c>
      <c r="H15" s="4" t="s">
        <v>58</v>
      </c>
      <c r="I15" s="4">
        <v>21978</v>
      </c>
    </row>
    <row r="16" spans="1:9" x14ac:dyDescent="0.25">
      <c r="A16" s="4">
        <v>15</v>
      </c>
      <c r="B16" s="4"/>
      <c r="C16" s="4">
        <v>30</v>
      </c>
      <c r="D16" s="4" t="s">
        <v>16</v>
      </c>
      <c r="E16" s="4" t="s">
        <v>59</v>
      </c>
      <c r="F16" s="4" t="s">
        <v>60</v>
      </c>
      <c r="G16" s="11">
        <f>8888888888</f>
        <v>8888888888</v>
      </c>
      <c r="H16" s="4"/>
      <c r="I16" s="4">
        <v>49400</v>
      </c>
    </row>
    <row r="17" spans="1:9" x14ac:dyDescent="0.25">
      <c r="A17" s="4">
        <v>16</v>
      </c>
      <c r="B17" s="4" t="s">
        <v>61</v>
      </c>
      <c r="C17" s="4">
        <v>32</v>
      </c>
      <c r="D17" s="4" t="s">
        <v>10</v>
      </c>
      <c r="E17" s="4" t="s">
        <v>62</v>
      </c>
      <c r="F17" s="4" t="s">
        <v>63</v>
      </c>
      <c r="G17" s="11">
        <f>1234567890</f>
        <v>1234567890</v>
      </c>
      <c r="H17" s="4" t="s">
        <v>64</v>
      </c>
      <c r="I17" s="4">
        <v>28476</v>
      </c>
    </row>
    <row r="18" spans="1:9" x14ac:dyDescent="0.25">
      <c r="A18" s="4">
        <v>17</v>
      </c>
      <c r="B18" s="4" t="s">
        <v>65</v>
      </c>
      <c r="C18" s="4">
        <v>26</v>
      </c>
      <c r="D18" s="4" t="s">
        <v>16</v>
      </c>
      <c r="E18" s="4" t="s">
        <v>66</v>
      </c>
      <c r="F18" s="4" t="s">
        <v>67</v>
      </c>
      <c r="G18" s="11">
        <f>8765432109</f>
        <v>8765432109</v>
      </c>
      <c r="H18" s="4"/>
      <c r="I18" s="4">
        <v>40088</v>
      </c>
    </row>
    <row r="19" spans="1:9" x14ac:dyDescent="0.25">
      <c r="A19" s="4">
        <v>18</v>
      </c>
      <c r="B19" s="4" t="s">
        <v>68</v>
      </c>
      <c r="C19" s="4">
        <v>28</v>
      </c>
      <c r="D19" s="4" t="s">
        <v>10</v>
      </c>
      <c r="E19" s="4" t="s">
        <v>34</v>
      </c>
      <c r="F19" s="4" t="s">
        <v>69</v>
      </c>
      <c r="G19" s="11">
        <f>9876543210</f>
        <v>9876543210</v>
      </c>
      <c r="H19" s="4" t="s">
        <v>70</v>
      </c>
      <c r="I19" s="4">
        <v>2949</v>
      </c>
    </row>
    <row r="20" spans="1:9" x14ac:dyDescent="0.25">
      <c r="A20" s="4">
        <v>19</v>
      </c>
      <c r="B20" s="4" t="s">
        <v>71</v>
      </c>
      <c r="C20" s="4">
        <v>30</v>
      </c>
      <c r="D20" s="4" t="s">
        <v>16</v>
      </c>
      <c r="E20" s="4" t="s">
        <v>34</v>
      </c>
      <c r="F20" s="4" t="s">
        <v>72</v>
      </c>
      <c r="G20" s="11">
        <f>5555555555</f>
        <v>5555555555</v>
      </c>
      <c r="H20" s="4" t="s">
        <v>73</v>
      </c>
      <c r="I20" s="4">
        <v>3337</v>
      </c>
    </row>
    <row r="21" spans="1:9" x14ac:dyDescent="0.25">
      <c r="A21" s="4">
        <v>20</v>
      </c>
      <c r="B21" s="4"/>
      <c r="C21" s="4">
        <v>32</v>
      </c>
      <c r="D21" s="4" t="s">
        <v>10</v>
      </c>
      <c r="E21" s="4" t="s">
        <v>59</v>
      </c>
      <c r="F21" s="4" t="s">
        <v>74</v>
      </c>
      <c r="G21" s="11">
        <f>9999999999</f>
        <v>9999999999</v>
      </c>
      <c r="H21" s="4"/>
      <c r="I21" s="4">
        <v>2857</v>
      </c>
    </row>
    <row r="22" spans="1:9" x14ac:dyDescent="0.25">
      <c r="A22" s="4">
        <v>21</v>
      </c>
      <c r="B22" s="4" t="s">
        <v>75</v>
      </c>
      <c r="C22" s="4">
        <v>26</v>
      </c>
      <c r="D22" s="4" t="s">
        <v>16</v>
      </c>
      <c r="E22" s="4" t="s">
        <v>62</v>
      </c>
      <c r="F22" s="4" t="s">
        <v>76</v>
      </c>
      <c r="G22" s="11">
        <f>9876543210</f>
        <v>9876543210</v>
      </c>
      <c r="H22" s="4" t="s">
        <v>77</v>
      </c>
      <c r="I22" s="4">
        <v>35969</v>
      </c>
    </row>
    <row r="23" spans="1:9" x14ac:dyDescent="0.25">
      <c r="A23" s="4">
        <v>22</v>
      </c>
      <c r="B23" s="4" t="s">
        <v>78</v>
      </c>
      <c r="C23" s="4">
        <v>33</v>
      </c>
      <c r="D23" s="4" t="s">
        <v>10</v>
      </c>
      <c r="E23" s="4" t="s">
        <v>66</v>
      </c>
      <c r="F23" s="4" t="s">
        <v>79</v>
      </c>
      <c r="G23" s="11">
        <f>8888888888</f>
        <v>8888888888</v>
      </c>
      <c r="H23" s="4" t="s">
        <v>80</v>
      </c>
      <c r="I23" s="4">
        <v>49681</v>
      </c>
    </row>
    <row r="24" spans="1:9" x14ac:dyDescent="0.25">
      <c r="A24" s="4">
        <v>23</v>
      </c>
      <c r="B24" s="4"/>
      <c r="C24" s="4">
        <v>27</v>
      </c>
      <c r="D24" s="4" t="s">
        <v>16</v>
      </c>
      <c r="E24" s="4" t="s">
        <v>34</v>
      </c>
      <c r="F24" s="4"/>
      <c r="G24" s="11">
        <f>7777777777</f>
        <v>7777777777</v>
      </c>
      <c r="H24" s="4" t="s">
        <v>81</v>
      </c>
      <c r="I24" s="4">
        <v>45102</v>
      </c>
    </row>
    <row r="25" spans="1:9" x14ac:dyDescent="0.25">
      <c r="A25" s="4">
        <v>24</v>
      </c>
      <c r="B25" s="4" t="s">
        <v>82</v>
      </c>
      <c r="C25" s="4">
        <v>29</v>
      </c>
      <c r="D25" s="4" t="s">
        <v>10</v>
      </c>
      <c r="E25" s="4" t="s">
        <v>11</v>
      </c>
      <c r="F25" s="4" t="s">
        <v>83</v>
      </c>
      <c r="G25" s="11">
        <v>6666666666</v>
      </c>
      <c r="H25" s="4"/>
      <c r="I25" s="4">
        <v>15853</v>
      </c>
    </row>
    <row r="26" spans="1:9" x14ac:dyDescent="0.25">
      <c r="A26" s="4">
        <v>25</v>
      </c>
      <c r="B26" s="4" t="s">
        <v>85</v>
      </c>
      <c r="C26" s="4"/>
      <c r="D26" s="4" t="s">
        <v>16</v>
      </c>
      <c r="E26" s="4" t="s">
        <v>17</v>
      </c>
      <c r="F26" s="4" t="s">
        <v>86</v>
      </c>
      <c r="G26" s="11">
        <f>5555555555</f>
        <v>5555555555</v>
      </c>
      <c r="H26" s="4" t="s">
        <v>87</v>
      </c>
      <c r="I26" s="4">
        <v>6926</v>
      </c>
    </row>
    <row r="27" spans="1:9" x14ac:dyDescent="0.25">
      <c r="A27" s="4">
        <v>26</v>
      </c>
      <c r="B27" s="4" t="s">
        <v>88</v>
      </c>
      <c r="C27" s="4">
        <v>31</v>
      </c>
      <c r="D27" s="4" t="s">
        <v>10</v>
      </c>
      <c r="E27" s="4" t="s">
        <v>59</v>
      </c>
      <c r="F27" s="4" t="s">
        <v>89</v>
      </c>
      <c r="G27" s="11">
        <f>9876543210</f>
        <v>9876543210</v>
      </c>
      <c r="H27" s="4" t="s">
        <v>90</v>
      </c>
      <c r="I27" s="4">
        <v>45678</v>
      </c>
    </row>
    <row r="28" spans="1:9" x14ac:dyDescent="0.25">
      <c r="A28" s="4">
        <v>27</v>
      </c>
      <c r="B28" s="4" t="s">
        <v>91</v>
      </c>
      <c r="C28" s="4">
        <v>28</v>
      </c>
      <c r="D28" s="4" t="s">
        <v>16</v>
      </c>
      <c r="E28" s="4" t="s">
        <v>62</v>
      </c>
      <c r="F28" s="4" t="s">
        <v>92</v>
      </c>
      <c r="G28" s="11">
        <f>7777777777</f>
        <v>7777777777</v>
      </c>
      <c r="H28" s="4" t="s">
        <v>93</v>
      </c>
      <c r="I28" s="4">
        <v>8022</v>
      </c>
    </row>
    <row r="29" spans="1:9" x14ac:dyDescent="0.25">
      <c r="A29" s="4">
        <v>28</v>
      </c>
      <c r="B29" s="4" t="s">
        <v>94</v>
      </c>
      <c r="C29" s="4">
        <v>34</v>
      </c>
      <c r="D29" s="4" t="s">
        <v>10</v>
      </c>
      <c r="E29" s="4" t="s">
        <v>66</v>
      </c>
      <c r="F29" s="4" t="s">
        <v>95</v>
      </c>
      <c r="G29" s="11">
        <f>8888888888</f>
        <v>8888888888</v>
      </c>
      <c r="H29" s="4" t="s">
        <v>96</v>
      </c>
      <c r="I29" s="4">
        <v>3484</v>
      </c>
    </row>
    <row r="30" spans="1:9" x14ac:dyDescent="0.25">
      <c r="A30" s="4">
        <v>29</v>
      </c>
      <c r="B30" s="4" t="s">
        <v>97</v>
      </c>
      <c r="C30" s="4">
        <v>26</v>
      </c>
      <c r="D30" s="4" t="s">
        <v>16</v>
      </c>
      <c r="E30" s="4" t="s">
        <v>22</v>
      </c>
      <c r="F30" s="4" t="s">
        <v>98</v>
      </c>
      <c r="G30" s="11">
        <f>7777777777</f>
        <v>7777777777</v>
      </c>
      <c r="H30" s="4" t="s">
        <v>99</v>
      </c>
      <c r="I30" s="4">
        <v>11342</v>
      </c>
    </row>
    <row r="31" spans="1:9" x14ac:dyDescent="0.25">
      <c r="A31" s="4">
        <v>30</v>
      </c>
      <c r="B31" s="4"/>
      <c r="C31" s="4">
        <v>29</v>
      </c>
      <c r="D31" s="4" t="s">
        <v>10</v>
      </c>
      <c r="E31" s="4" t="s">
        <v>27</v>
      </c>
      <c r="F31" s="4" t="s">
        <v>100</v>
      </c>
      <c r="G31" s="11">
        <f>9876543210</f>
        <v>9876543210</v>
      </c>
      <c r="H31" s="4" t="s">
        <v>101</v>
      </c>
      <c r="I31" s="4">
        <v>40940</v>
      </c>
    </row>
    <row r="32" spans="1:9" x14ac:dyDescent="0.25">
      <c r="A32" s="4">
        <v>31</v>
      </c>
      <c r="B32" s="4" t="s">
        <v>42</v>
      </c>
      <c r="C32" s="4">
        <v>27</v>
      </c>
      <c r="D32" s="4" t="s">
        <v>16</v>
      </c>
      <c r="E32" s="4" t="s">
        <v>31</v>
      </c>
      <c r="F32" s="4" t="s">
        <v>102</v>
      </c>
      <c r="G32" s="11">
        <f>5555555555</f>
        <v>5555555555</v>
      </c>
      <c r="H32" s="4"/>
      <c r="I32" s="4">
        <v>41841</v>
      </c>
    </row>
    <row r="33" spans="1:9" x14ac:dyDescent="0.25">
      <c r="A33" s="4">
        <v>32</v>
      </c>
      <c r="B33" s="4" t="s">
        <v>103</v>
      </c>
      <c r="C33" s="4">
        <v>32</v>
      </c>
      <c r="D33" s="4" t="s">
        <v>10</v>
      </c>
      <c r="E33" s="4" t="s">
        <v>59</v>
      </c>
      <c r="F33" s="4" t="s">
        <v>104</v>
      </c>
      <c r="G33" s="11">
        <f>9876543210</f>
        <v>9876543210</v>
      </c>
      <c r="H33" s="4" t="s">
        <v>105</v>
      </c>
      <c r="I33" s="4">
        <v>39835</v>
      </c>
    </row>
    <row r="34" spans="1:9" x14ac:dyDescent="0.25">
      <c r="A34" s="4">
        <v>33</v>
      </c>
      <c r="B34" s="4"/>
      <c r="C34" s="4">
        <v>33</v>
      </c>
      <c r="D34" s="4" t="s">
        <v>16</v>
      </c>
      <c r="E34" s="4" t="s">
        <v>62</v>
      </c>
      <c r="F34" s="4" t="s">
        <v>106</v>
      </c>
      <c r="G34" s="11">
        <f>6666666666</f>
        <v>6666666666</v>
      </c>
      <c r="H34" s="4" t="s">
        <v>107</v>
      </c>
      <c r="I34" s="4">
        <v>9577</v>
      </c>
    </row>
    <row r="35" spans="1:9" x14ac:dyDescent="0.25">
      <c r="A35" s="4">
        <v>34</v>
      </c>
      <c r="B35" s="4" t="s">
        <v>108</v>
      </c>
      <c r="C35" s="4">
        <v>30</v>
      </c>
      <c r="D35" s="4" t="s">
        <v>10</v>
      </c>
      <c r="E35" s="4" t="s">
        <v>66</v>
      </c>
      <c r="F35" s="4" t="s">
        <v>109</v>
      </c>
      <c r="G35" s="11">
        <f>9876543210</f>
        <v>9876543210</v>
      </c>
      <c r="H35" s="4" t="s">
        <v>110</v>
      </c>
      <c r="I35" s="4">
        <v>29480</v>
      </c>
    </row>
    <row r="36" spans="1:9" x14ac:dyDescent="0.25">
      <c r="A36" s="4">
        <v>35</v>
      </c>
      <c r="B36" s="4" t="s">
        <v>111</v>
      </c>
      <c r="C36" s="4"/>
      <c r="D36" s="4" t="s">
        <v>16</v>
      </c>
      <c r="E36" s="4" t="s">
        <v>22</v>
      </c>
      <c r="F36" s="4" t="s">
        <v>112</v>
      </c>
      <c r="G36" s="11">
        <f>5555555555</f>
        <v>5555555555</v>
      </c>
      <c r="H36" s="4" t="s">
        <v>113</v>
      </c>
      <c r="I36" s="4">
        <v>14254</v>
      </c>
    </row>
    <row r="37" spans="1:9" x14ac:dyDescent="0.25">
      <c r="A37" s="4">
        <v>36</v>
      </c>
      <c r="B37" s="4" t="s">
        <v>114</v>
      </c>
      <c r="C37" s="4">
        <v>29</v>
      </c>
      <c r="D37" s="4" t="s">
        <v>10</v>
      </c>
      <c r="E37" s="4" t="s">
        <v>27</v>
      </c>
      <c r="F37" s="4" t="s">
        <v>115</v>
      </c>
      <c r="G37" s="11">
        <f>7777777777</f>
        <v>7777777777</v>
      </c>
      <c r="H37" s="4" t="s">
        <v>116</v>
      </c>
      <c r="I37" s="4">
        <v>37358</v>
      </c>
    </row>
    <row r="38" spans="1:9" x14ac:dyDescent="0.25">
      <c r="A38" s="4">
        <v>37</v>
      </c>
      <c r="B38" s="4"/>
      <c r="C38" s="4">
        <v>31</v>
      </c>
      <c r="D38" s="4" t="s">
        <v>16</v>
      </c>
      <c r="E38" s="4" t="s">
        <v>31</v>
      </c>
      <c r="F38" s="4" t="s">
        <v>117</v>
      </c>
      <c r="G38" s="11">
        <f>9876543210</f>
        <v>9876543210</v>
      </c>
      <c r="H38" s="4" t="s">
        <v>118</v>
      </c>
      <c r="I38" s="4">
        <v>48367</v>
      </c>
    </row>
    <row r="39" spans="1:9" x14ac:dyDescent="0.25">
      <c r="A39" s="4">
        <v>38</v>
      </c>
      <c r="B39" s="4" t="s">
        <v>119</v>
      </c>
      <c r="C39" s="4">
        <v>28</v>
      </c>
      <c r="D39" s="4" t="s">
        <v>10</v>
      </c>
      <c r="E39" s="4" t="s">
        <v>120</v>
      </c>
      <c r="F39" s="4" t="s">
        <v>121</v>
      </c>
      <c r="G39" s="11">
        <f>8888888888</f>
        <v>8888888888</v>
      </c>
      <c r="H39" s="4" t="s">
        <v>122</v>
      </c>
      <c r="I39" s="4">
        <v>37473</v>
      </c>
    </row>
    <row r="40" spans="1:9" x14ac:dyDescent="0.25">
      <c r="A40" s="4">
        <v>39</v>
      </c>
      <c r="B40" s="4" t="s">
        <v>123</v>
      </c>
      <c r="C40" s="4">
        <v>33</v>
      </c>
      <c r="D40" s="4" t="s">
        <v>16</v>
      </c>
      <c r="E40" s="4" t="s">
        <v>124</v>
      </c>
      <c r="F40" s="4" t="s">
        <v>125</v>
      </c>
      <c r="G40" s="11">
        <f>9999999999</f>
        <v>9999999999</v>
      </c>
      <c r="H40" s="4" t="s">
        <v>126</v>
      </c>
      <c r="I40" s="4">
        <v>30628</v>
      </c>
    </row>
    <row r="41" spans="1:9" x14ac:dyDescent="0.25">
      <c r="A41" s="4">
        <v>40</v>
      </c>
      <c r="B41" s="4" t="s">
        <v>127</v>
      </c>
      <c r="C41" s="4">
        <v>30</v>
      </c>
      <c r="D41" s="4" t="s">
        <v>10</v>
      </c>
      <c r="E41" s="4" t="s">
        <v>128</v>
      </c>
      <c r="F41" s="4" t="s">
        <v>129</v>
      </c>
      <c r="G41" s="11">
        <f>9876543210</f>
        <v>9876543210</v>
      </c>
      <c r="H41" s="4" t="s">
        <v>130</v>
      </c>
      <c r="I41" s="4">
        <v>22018</v>
      </c>
    </row>
    <row r="42" spans="1:9" x14ac:dyDescent="0.25">
      <c r="A42" s="4">
        <v>41</v>
      </c>
      <c r="B42" s="4" t="s">
        <v>131</v>
      </c>
      <c r="C42" s="4">
        <v>27</v>
      </c>
      <c r="D42" s="4" t="s">
        <v>16</v>
      </c>
      <c r="E42" s="4" t="s">
        <v>34</v>
      </c>
      <c r="F42" s="4" t="s">
        <v>132</v>
      </c>
      <c r="G42" s="11">
        <f>7777777777</f>
        <v>7777777777</v>
      </c>
      <c r="H42" s="4" t="s">
        <v>133</v>
      </c>
      <c r="I42" s="4">
        <v>35747</v>
      </c>
    </row>
    <row r="43" spans="1:9" x14ac:dyDescent="0.25">
      <c r="A43" s="4">
        <v>42</v>
      </c>
      <c r="B43" s="4" t="s">
        <v>134</v>
      </c>
      <c r="C43" s="4">
        <v>29</v>
      </c>
      <c r="D43" s="4" t="s">
        <v>10</v>
      </c>
      <c r="E43" s="4" t="s">
        <v>31</v>
      </c>
      <c r="F43" s="4" t="s">
        <v>135</v>
      </c>
      <c r="G43" s="11">
        <f>9876543210</f>
        <v>9876543210</v>
      </c>
      <c r="H43" s="4" t="s">
        <v>136</v>
      </c>
      <c r="I43" s="4">
        <v>32258</v>
      </c>
    </row>
    <row r="44" spans="1:9" x14ac:dyDescent="0.25">
      <c r="A44" s="4">
        <v>43</v>
      </c>
      <c r="B44" s="4" t="s">
        <v>137</v>
      </c>
      <c r="C44" s="4">
        <v>26</v>
      </c>
      <c r="D44" s="4" t="s">
        <v>16</v>
      </c>
      <c r="E44" s="4" t="s">
        <v>59</v>
      </c>
      <c r="F44" s="4" t="s">
        <v>138</v>
      </c>
      <c r="G44" s="11">
        <f>5555555555</f>
        <v>5555555555</v>
      </c>
      <c r="H44" s="4" t="s">
        <v>139</v>
      </c>
      <c r="I44" s="4">
        <v>31047</v>
      </c>
    </row>
    <row r="45" spans="1:9" x14ac:dyDescent="0.25">
      <c r="A45" s="4">
        <v>44</v>
      </c>
      <c r="B45" s="4"/>
      <c r="C45" s="4">
        <v>28</v>
      </c>
      <c r="D45" s="4" t="s">
        <v>10</v>
      </c>
      <c r="E45" s="4" t="s">
        <v>62</v>
      </c>
      <c r="F45" s="4" t="s">
        <v>140</v>
      </c>
      <c r="G45" s="11">
        <f>9876543210</f>
        <v>9876543210</v>
      </c>
      <c r="H45" s="4" t="s">
        <v>141</v>
      </c>
      <c r="I45" s="4">
        <v>31064</v>
      </c>
    </row>
    <row r="46" spans="1:9" x14ac:dyDescent="0.25">
      <c r="A46" s="4">
        <v>45</v>
      </c>
      <c r="B46" s="4" t="s">
        <v>142</v>
      </c>
      <c r="C46" s="4">
        <v>31</v>
      </c>
      <c r="D46" s="4" t="s">
        <v>10</v>
      </c>
      <c r="E46" s="4" t="s">
        <v>66</v>
      </c>
      <c r="F46" s="4" t="s">
        <v>143</v>
      </c>
      <c r="G46" s="11">
        <f>8888888888</f>
        <v>8888888888</v>
      </c>
      <c r="H46" s="4"/>
      <c r="I46" s="4">
        <v>3108</v>
      </c>
    </row>
    <row r="47" spans="1:9" x14ac:dyDescent="0.25">
      <c r="A47" s="4">
        <v>46</v>
      </c>
      <c r="B47" s="4" t="s">
        <v>144</v>
      </c>
      <c r="C47" s="4">
        <v>27</v>
      </c>
      <c r="D47" s="4" t="s">
        <v>16</v>
      </c>
      <c r="E47" s="4" t="s">
        <v>120</v>
      </c>
      <c r="F47" s="4" t="s">
        <v>145</v>
      </c>
      <c r="G47" s="11">
        <f>7777777777</f>
        <v>7777777777</v>
      </c>
      <c r="H47" s="4" t="s">
        <v>146</v>
      </c>
      <c r="I47" s="4">
        <v>20205</v>
      </c>
    </row>
    <row r="48" spans="1:9" x14ac:dyDescent="0.25">
      <c r="A48" s="4">
        <v>47</v>
      </c>
      <c r="B48" s="4"/>
      <c r="C48" s="4">
        <v>29</v>
      </c>
      <c r="D48" s="4" t="s">
        <v>10</v>
      </c>
      <c r="E48" s="4" t="s">
        <v>124</v>
      </c>
      <c r="F48" s="4" t="s">
        <v>147</v>
      </c>
      <c r="G48" s="11">
        <f>9876543210</f>
        <v>9876543210</v>
      </c>
      <c r="H48" s="4" t="s">
        <v>148</v>
      </c>
      <c r="I48" s="4">
        <v>8746</v>
      </c>
    </row>
    <row r="49" spans="1:9" x14ac:dyDescent="0.25">
      <c r="A49" s="4">
        <v>48</v>
      </c>
      <c r="B49" s="4" t="s">
        <v>149</v>
      </c>
      <c r="C49" s="4">
        <v>32</v>
      </c>
      <c r="D49" s="4" t="s">
        <v>16</v>
      </c>
      <c r="E49" s="4" t="s">
        <v>22</v>
      </c>
      <c r="F49" s="4" t="s">
        <v>150</v>
      </c>
      <c r="G49" s="11">
        <f>6666666666</f>
        <v>6666666666</v>
      </c>
      <c r="H49" s="4" t="s">
        <v>151</v>
      </c>
      <c r="I49" s="4">
        <v>15531</v>
      </c>
    </row>
    <row r="50" spans="1:9" x14ac:dyDescent="0.25">
      <c r="A50" s="4">
        <v>49</v>
      </c>
      <c r="B50" s="4" t="s">
        <v>152</v>
      </c>
      <c r="C50" s="4"/>
      <c r="D50" s="4" t="s">
        <v>10</v>
      </c>
      <c r="E50" s="4" t="s">
        <v>27</v>
      </c>
      <c r="F50" s="4" t="s">
        <v>153</v>
      </c>
      <c r="G50" s="11">
        <f>5555555555</f>
        <v>5555555555</v>
      </c>
      <c r="H50" s="4" t="s">
        <v>154</v>
      </c>
      <c r="I50" s="4">
        <v>23055</v>
      </c>
    </row>
    <row r="51" spans="1:9" x14ac:dyDescent="0.25">
      <c r="A51" s="4">
        <v>50</v>
      </c>
      <c r="B51" s="4" t="s">
        <v>155</v>
      </c>
      <c r="C51" s="4">
        <v>30</v>
      </c>
      <c r="D51" s="4" t="s">
        <v>16</v>
      </c>
      <c r="E51" s="4" t="s">
        <v>31</v>
      </c>
      <c r="F51" s="4" t="s">
        <v>156</v>
      </c>
      <c r="G51" s="11">
        <f>9876543210</f>
        <v>9876543210</v>
      </c>
      <c r="H51" s="4" t="s">
        <v>157</v>
      </c>
      <c r="I51" s="4">
        <v>18647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4"/>
  <sheetViews>
    <sheetView workbookViewId="0">
      <selection activeCell="F50" sqref="F50"/>
    </sheetView>
  </sheetViews>
  <sheetFormatPr defaultRowHeight="15" x14ac:dyDescent="0.25"/>
  <cols>
    <col min="2" max="2" width="15.5703125" customWidth="1"/>
    <col min="5" max="5" width="16.7109375" customWidth="1"/>
    <col min="6" max="6" width="26.28515625" customWidth="1"/>
    <col min="7" max="7" width="19.42578125" customWidth="1"/>
    <col min="8" max="8" width="38.85546875" customWidth="1"/>
    <col min="9" max="9" width="8.42578125" customWidth="1"/>
    <col min="10" max="10" width="23.42578125" customWidth="1"/>
  </cols>
  <sheetData>
    <row r="1" spans="1:10" ht="16.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5" t="s">
        <v>158</v>
      </c>
    </row>
    <row r="2" spans="1:10" x14ac:dyDescent="0.25">
      <c r="A2" s="4">
        <v>1</v>
      </c>
      <c r="B2" s="4" t="s">
        <v>9</v>
      </c>
      <c r="C2" s="4">
        <v>32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>
        <v>4553</v>
      </c>
      <c r="J2" s="6" t="s">
        <v>159</v>
      </c>
    </row>
    <row r="3" spans="1:10" x14ac:dyDescent="0.25">
      <c r="A3" s="4">
        <v>2</v>
      </c>
      <c r="B3" s="4" t="s">
        <v>15</v>
      </c>
      <c r="C3" s="4">
        <v>28</v>
      </c>
      <c r="D3" s="4" t="s">
        <v>16</v>
      </c>
      <c r="E3" s="4" t="s">
        <v>17</v>
      </c>
      <c r="F3" s="4" t="s">
        <v>18</v>
      </c>
      <c r="G3" s="4" t="s">
        <v>19</v>
      </c>
      <c r="H3" s="4" t="s">
        <v>20</v>
      </c>
      <c r="I3" s="4">
        <v>31169</v>
      </c>
      <c r="J3" s="6" t="s">
        <v>160</v>
      </c>
    </row>
    <row r="4" spans="1:10" x14ac:dyDescent="0.25">
      <c r="A4" s="4">
        <v>3</v>
      </c>
      <c r="B4" s="4" t="s">
        <v>21</v>
      </c>
      <c r="C4" s="4">
        <v>27</v>
      </c>
      <c r="D4" s="4" t="s">
        <v>10</v>
      </c>
      <c r="E4" s="4" t="s">
        <v>22</v>
      </c>
      <c r="F4" s="4" t="s">
        <v>23</v>
      </c>
      <c r="G4" s="4" t="s">
        <v>24</v>
      </c>
      <c r="H4" s="4" t="s">
        <v>25</v>
      </c>
      <c r="I4" s="4">
        <v>11116</v>
      </c>
      <c r="J4" s="6" t="s">
        <v>161</v>
      </c>
    </row>
    <row r="5" spans="1:10" x14ac:dyDescent="0.25">
      <c r="A5" s="4">
        <v>4</v>
      </c>
      <c r="B5" s="4" t="s">
        <v>26</v>
      </c>
      <c r="C5" s="4">
        <v>33</v>
      </c>
      <c r="D5" s="4" t="s">
        <v>16</v>
      </c>
      <c r="E5" s="4" t="s">
        <v>27</v>
      </c>
      <c r="F5" s="4" t="s">
        <v>28</v>
      </c>
      <c r="G5" s="4" t="s">
        <v>29</v>
      </c>
      <c r="H5" s="4" t="s">
        <v>30</v>
      </c>
      <c r="I5" s="4">
        <v>33457</v>
      </c>
      <c r="J5" s="6" t="s">
        <v>162</v>
      </c>
    </row>
    <row r="6" spans="1:10" x14ac:dyDescent="0.25">
      <c r="A6" s="4">
        <v>5</v>
      </c>
      <c r="B6" s="7" t="str">
        <f>J6</f>
        <v>jane.doe</v>
      </c>
      <c r="C6" s="4">
        <v>29</v>
      </c>
      <c r="D6" s="4" t="s">
        <v>16</v>
      </c>
      <c r="E6" s="4" t="s">
        <v>31</v>
      </c>
      <c r="F6" s="4" t="s">
        <v>32</v>
      </c>
      <c r="G6" s="4"/>
      <c r="H6" s="4"/>
      <c r="I6" s="4">
        <v>21918</v>
      </c>
      <c r="J6" s="6" t="s">
        <v>163</v>
      </c>
    </row>
    <row r="7" spans="1:10" x14ac:dyDescent="0.25">
      <c r="A7" s="4">
        <v>6</v>
      </c>
      <c r="B7" s="4" t="s">
        <v>33</v>
      </c>
      <c r="C7" s="4">
        <v>34</v>
      </c>
      <c r="D7" s="4" t="s">
        <v>10</v>
      </c>
      <c r="E7" s="4" t="s">
        <v>34</v>
      </c>
      <c r="F7" s="4" t="s">
        <v>35</v>
      </c>
      <c r="G7" s="4"/>
      <c r="H7" s="4" t="s">
        <v>36</v>
      </c>
      <c r="I7" s="4">
        <v>33418</v>
      </c>
      <c r="J7" s="6" t="s">
        <v>164</v>
      </c>
    </row>
    <row r="8" spans="1:10" x14ac:dyDescent="0.25">
      <c r="A8" s="4">
        <v>8</v>
      </c>
      <c r="B8" s="4" t="s">
        <v>40</v>
      </c>
      <c r="C8" s="4">
        <v>31</v>
      </c>
      <c r="D8" s="4" t="s">
        <v>10</v>
      </c>
      <c r="E8" s="4" t="s">
        <v>27</v>
      </c>
      <c r="F8" s="4" t="s">
        <v>41</v>
      </c>
      <c r="G8" s="4">
        <f>91-8888888888</f>
        <v>-8888888797</v>
      </c>
      <c r="H8" s="4"/>
      <c r="I8" s="4">
        <v>45450</v>
      </c>
      <c r="J8" s="6" t="s">
        <v>165</v>
      </c>
    </row>
    <row r="9" spans="1:10" x14ac:dyDescent="0.25">
      <c r="A9" s="4">
        <v>9</v>
      </c>
      <c r="B9" s="4" t="s">
        <v>42</v>
      </c>
      <c r="C9" s="4">
        <v>27</v>
      </c>
      <c r="D9" s="4" t="s">
        <v>16</v>
      </c>
      <c r="E9" s="4" t="s">
        <v>31</v>
      </c>
      <c r="F9" s="4" t="s">
        <v>43</v>
      </c>
      <c r="G9" s="4">
        <f>91-7777777777</f>
        <v>-7777777686</v>
      </c>
      <c r="H9" s="4" t="s">
        <v>44</v>
      </c>
      <c r="I9" s="4">
        <v>49938</v>
      </c>
      <c r="J9" s="6" t="s">
        <v>166</v>
      </c>
    </row>
    <row r="10" spans="1:10" x14ac:dyDescent="0.25">
      <c r="A10" s="4">
        <v>10</v>
      </c>
      <c r="B10" s="7" t="str">
        <f>J10</f>
        <v>naveen.sharma</v>
      </c>
      <c r="C10" s="4">
        <v>35</v>
      </c>
      <c r="D10" s="4" t="s">
        <v>10</v>
      </c>
      <c r="E10" s="4" t="s">
        <v>11</v>
      </c>
      <c r="F10" s="4" t="s">
        <v>45</v>
      </c>
      <c r="G10" s="4"/>
      <c r="H10" s="4" t="s">
        <v>46</v>
      </c>
      <c r="I10" s="4">
        <v>9818</v>
      </c>
      <c r="J10" s="6" t="s">
        <v>167</v>
      </c>
    </row>
    <row r="11" spans="1:10" x14ac:dyDescent="0.25">
      <c r="A11" s="4">
        <v>12</v>
      </c>
      <c r="B11" s="4" t="s">
        <v>50</v>
      </c>
      <c r="C11" s="4">
        <v>29</v>
      </c>
      <c r="D11" s="4" t="s">
        <v>10</v>
      </c>
      <c r="E11" s="4" t="s">
        <v>17</v>
      </c>
      <c r="F11" s="4" t="s">
        <v>51</v>
      </c>
      <c r="G11" s="4">
        <f>91-5555555555</f>
        <v>-5555555464</v>
      </c>
      <c r="H11" s="4" t="s">
        <v>52</v>
      </c>
      <c r="I11" s="4">
        <v>11901</v>
      </c>
      <c r="J11" s="6" t="s">
        <v>169</v>
      </c>
    </row>
    <row r="12" spans="1:10" x14ac:dyDescent="0.25">
      <c r="A12" s="4">
        <v>14</v>
      </c>
      <c r="B12" s="4" t="s">
        <v>55</v>
      </c>
      <c r="C12" s="4">
        <v>28</v>
      </c>
      <c r="D12" s="4" t="s">
        <v>16</v>
      </c>
      <c r="E12" s="4" t="s">
        <v>56</v>
      </c>
      <c r="F12" s="4" t="s">
        <v>57</v>
      </c>
      <c r="G12" s="4"/>
      <c r="H12" s="4" t="s">
        <v>58</v>
      </c>
      <c r="I12" s="4">
        <v>21978</v>
      </c>
      <c r="J12" s="6" t="s">
        <v>170</v>
      </c>
    </row>
    <row r="13" spans="1:10" x14ac:dyDescent="0.25">
      <c r="A13" s="4">
        <v>15</v>
      </c>
      <c r="B13" s="7" t="str">
        <f>J13</f>
        <v>kavita.sharma</v>
      </c>
      <c r="C13" s="4">
        <v>30</v>
      </c>
      <c r="D13" s="4" t="s">
        <v>16</v>
      </c>
      <c r="E13" s="4" t="s">
        <v>59</v>
      </c>
      <c r="F13" s="4" t="s">
        <v>60</v>
      </c>
      <c r="G13" s="4">
        <f>91-8888888888</f>
        <v>-8888888797</v>
      </c>
      <c r="H13" s="4"/>
      <c r="I13" s="4">
        <v>49400</v>
      </c>
      <c r="J13" s="6" t="s">
        <v>171</v>
      </c>
    </row>
    <row r="14" spans="1:10" x14ac:dyDescent="0.25">
      <c r="A14" s="4">
        <v>16</v>
      </c>
      <c r="B14" s="4" t="s">
        <v>61</v>
      </c>
      <c r="C14" s="4">
        <v>32</v>
      </c>
      <c r="D14" s="4" t="s">
        <v>10</v>
      </c>
      <c r="E14" s="4" t="s">
        <v>62</v>
      </c>
      <c r="F14" s="4" t="s">
        <v>63</v>
      </c>
      <c r="G14" s="4">
        <f>91-1234567890</f>
        <v>-1234567799</v>
      </c>
      <c r="H14" s="4" t="s">
        <v>64</v>
      </c>
      <c r="I14" s="4">
        <v>28476</v>
      </c>
      <c r="J14" s="6" t="s">
        <v>172</v>
      </c>
    </row>
    <row r="15" spans="1:10" x14ac:dyDescent="0.25">
      <c r="A15" s="4">
        <v>17</v>
      </c>
      <c r="B15" s="4" t="s">
        <v>65</v>
      </c>
      <c r="C15" s="4">
        <v>26</v>
      </c>
      <c r="D15" s="4" t="s">
        <v>16</v>
      </c>
      <c r="E15" s="4" t="s">
        <v>66</v>
      </c>
      <c r="F15" s="4" t="s">
        <v>67</v>
      </c>
      <c r="G15" s="4">
        <f>91-8765432109</f>
        <v>-8765432018</v>
      </c>
      <c r="H15" s="4"/>
      <c r="I15" s="4">
        <v>40088</v>
      </c>
      <c r="J15" s="6" t="s">
        <v>173</v>
      </c>
    </row>
    <row r="16" spans="1:10" x14ac:dyDescent="0.25">
      <c r="A16" s="4">
        <v>18</v>
      </c>
      <c r="B16" s="4" t="s">
        <v>68</v>
      </c>
      <c r="C16" s="4">
        <v>28</v>
      </c>
      <c r="D16" s="4" t="s">
        <v>10</v>
      </c>
      <c r="E16" s="4" t="s">
        <v>34</v>
      </c>
      <c r="F16" s="4" t="s">
        <v>69</v>
      </c>
      <c r="G16" s="4">
        <f>91-9876543210</f>
        <v>-9876543119</v>
      </c>
      <c r="H16" s="4" t="s">
        <v>70</v>
      </c>
      <c r="I16" s="4">
        <v>2949</v>
      </c>
      <c r="J16" s="6" t="s">
        <v>174</v>
      </c>
    </row>
    <row r="17" spans="1:10" x14ac:dyDescent="0.25">
      <c r="A17" s="4">
        <v>19</v>
      </c>
      <c r="B17" s="4" t="s">
        <v>71</v>
      </c>
      <c r="C17" s="4">
        <v>30</v>
      </c>
      <c r="D17" s="4" t="s">
        <v>16</v>
      </c>
      <c r="E17" s="4" t="s">
        <v>34</v>
      </c>
      <c r="F17" s="4" t="s">
        <v>72</v>
      </c>
      <c r="G17" s="4">
        <f>91-5555555555</f>
        <v>-5555555464</v>
      </c>
      <c r="H17" s="4" t="s">
        <v>73</v>
      </c>
      <c r="I17" s="4">
        <v>3337</v>
      </c>
      <c r="J17" s="6" t="s">
        <v>175</v>
      </c>
    </row>
    <row r="18" spans="1:10" x14ac:dyDescent="0.25">
      <c r="A18" s="4">
        <v>20</v>
      </c>
      <c r="B18" s="7" t="str">
        <f>J18</f>
        <v>vikas.joshi</v>
      </c>
      <c r="C18" s="4">
        <v>32</v>
      </c>
      <c r="D18" s="4" t="s">
        <v>10</v>
      </c>
      <c r="E18" s="4" t="s">
        <v>59</v>
      </c>
      <c r="F18" s="4" t="s">
        <v>74</v>
      </c>
      <c r="G18" s="4">
        <f>91-9999999999</f>
        <v>-9999999908</v>
      </c>
      <c r="H18" s="4"/>
      <c r="I18" s="4">
        <v>2857</v>
      </c>
      <c r="J18" s="6" t="s">
        <v>176</v>
      </c>
    </row>
    <row r="19" spans="1:10" x14ac:dyDescent="0.25">
      <c r="A19" s="4">
        <v>21</v>
      </c>
      <c r="B19" s="4" t="s">
        <v>75</v>
      </c>
      <c r="C19" s="4">
        <v>26</v>
      </c>
      <c r="D19" s="4" t="s">
        <v>16</v>
      </c>
      <c r="E19" s="4" t="s">
        <v>62</v>
      </c>
      <c r="F19" s="4" t="s">
        <v>76</v>
      </c>
      <c r="G19" s="4"/>
      <c r="H19" s="4" t="s">
        <v>77</v>
      </c>
      <c r="I19" s="4">
        <v>35969</v>
      </c>
      <c r="J19" s="6" t="s">
        <v>177</v>
      </c>
    </row>
    <row r="20" spans="1:10" x14ac:dyDescent="0.25">
      <c r="A20" s="4">
        <v>22</v>
      </c>
      <c r="B20" s="4" t="s">
        <v>78</v>
      </c>
      <c r="C20" s="4">
        <v>33</v>
      </c>
      <c r="D20" s="4" t="s">
        <v>10</v>
      </c>
      <c r="E20" s="4" t="s">
        <v>66</v>
      </c>
      <c r="F20" s="4" t="s">
        <v>79</v>
      </c>
      <c r="G20" s="4">
        <f>91-8888888888</f>
        <v>-8888888797</v>
      </c>
      <c r="H20" s="4" t="s">
        <v>80</v>
      </c>
      <c r="I20" s="4">
        <v>49681</v>
      </c>
      <c r="J20" s="6" t="s">
        <v>178</v>
      </c>
    </row>
    <row r="21" spans="1:10" x14ac:dyDescent="0.25">
      <c r="A21" s="4">
        <v>24</v>
      </c>
      <c r="B21" s="4" t="s">
        <v>82</v>
      </c>
      <c r="C21" s="4">
        <v>29</v>
      </c>
      <c r="D21" s="4" t="s">
        <v>10</v>
      </c>
      <c r="E21" s="4" t="s">
        <v>11</v>
      </c>
      <c r="F21" s="4" t="s">
        <v>83</v>
      </c>
      <c r="G21" s="4" t="s">
        <v>84</v>
      </c>
      <c r="H21" s="4"/>
      <c r="I21" s="4">
        <v>15853</v>
      </c>
      <c r="J21" s="6" t="s">
        <v>179</v>
      </c>
    </row>
    <row r="22" spans="1:10" x14ac:dyDescent="0.25">
      <c r="A22" s="4">
        <v>26</v>
      </c>
      <c r="B22" s="4" t="s">
        <v>88</v>
      </c>
      <c r="C22" s="4">
        <v>31</v>
      </c>
      <c r="D22" s="4" t="s">
        <v>10</v>
      </c>
      <c r="E22" s="4" t="s">
        <v>59</v>
      </c>
      <c r="F22" s="4" t="s">
        <v>89</v>
      </c>
      <c r="G22" s="4"/>
      <c r="H22" s="4" t="s">
        <v>90</v>
      </c>
      <c r="I22" s="4">
        <v>45678</v>
      </c>
      <c r="J22" s="6" t="s">
        <v>181</v>
      </c>
    </row>
    <row r="23" spans="1:10" x14ac:dyDescent="0.25">
      <c r="A23" s="4">
        <v>27</v>
      </c>
      <c r="B23" s="4" t="s">
        <v>91</v>
      </c>
      <c r="C23" s="4">
        <v>28</v>
      </c>
      <c r="D23" s="4" t="s">
        <v>16</v>
      </c>
      <c r="E23" s="4" t="s">
        <v>62</v>
      </c>
      <c r="F23" s="4" t="s">
        <v>92</v>
      </c>
      <c r="G23" s="4">
        <f>91-7777777777</f>
        <v>-7777777686</v>
      </c>
      <c r="H23" s="4" t="s">
        <v>93</v>
      </c>
      <c r="I23" s="4">
        <v>8022</v>
      </c>
      <c r="J23" s="6" t="s">
        <v>182</v>
      </c>
    </row>
    <row r="24" spans="1:10" x14ac:dyDescent="0.25">
      <c r="A24" s="4">
        <v>28</v>
      </c>
      <c r="B24" s="4" t="s">
        <v>94</v>
      </c>
      <c r="C24" s="4">
        <v>34</v>
      </c>
      <c r="D24" s="4" t="s">
        <v>10</v>
      </c>
      <c r="E24" s="4" t="s">
        <v>66</v>
      </c>
      <c r="F24" s="4" t="s">
        <v>95</v>
      </c>
      <c r="G24" s="4">
        <f>91-8888888888</f>
        <v>-8888888797</v>
      </c>
      <c r="H24" s="4" t="s">
        <v>96</v>
      </c>
      <c r="I24" s="4">
        <v>3484</v>
      </c>
      <c r="J24" s="6" t="s">
        <v>183</v>
      </c>
    </row>
    <row r="25" spans="1:10" x14ac:dyDescent="0.25">
      <c r="A25" s="4">
        <v>29</v>
      </c>
      <c r="B25" s="4" t="s">
        <v>97</v>
      </c>
      <c r="C25" s="4">
        <v>26</v>
      </c>
      <c r="D25" s="4" t="s">
        <v>16</v>
      </c>
      <c r="E25" s="4" t="s">
        <v>22</v>
      </c>
      <c r="F25" s="4" t="s">
        <v>98</v>
      </c>
      <c r="G25" s="4">
        <f>91-7777777777</f>
        <v>-7777777686</v>
      </c>
      <c r="H25" s="4" t="s">
        <v>99</v>
      </c>
      <c r="I25" s="4">
        <v>11342</v>
      </c>
      <c r="J25" s="6" t="s">
        <v>184</v>
      </c>
    </row>
    <row r="26" spans="1:10" x14ac:dyDescent="0.25">
      <c r="A26" s="4">
        <v>30</v>
      </c>
      <c r="B26" s="7" t="str">
        <f>J26</f>
        <v>ankit.singh</v>
      </c>
      <c r="C26" s="4">
        <v>29</v>
      </c>
      <c r="D26" s="4" t="s">
        <v>10</v>
      </c>
      <c r="E26" s="4" t="s">
        <v>27</v>
      </c>
      <c r="F26" s="4" t="s">
        <v>100</v>
      </c>
      <c r="G26" s="4"/>
      <c r="H26" s="4" t="s">
        <v>101</v>
      </c>
      <c r="I26" s="4">
        <v>40940</v>
      </c>
      <c r="J26" s="6" t="s">
        <v>185</v>
      </c>
    </row>
    <row r="27" spans="1:10" x14ac:dyDescent="0.25">
      <c r="A27" s="4">
        <v>31</v>
      </c>
      <c r="B27" s="4" t="s">
        <v>42</v>
      </c>
      <c r="C27" s="4">
        <v>27</v>
      </c>
      <c r="D27" s="4" t="s">
        <v>16</v>
      </c>
      <c r="E27" s="4" t="s">
        <v>31</v>
      </c>
      <c r="F27" s="4" t="s">
        <v>102</v>
      </c>
      <c r="G27" s="4">
        <f>91-5555555555</f>
        <v>-5555555464</v>
      </c>
      <c r="H27" s="4"/>
      <c r="I27" s="4">
        <v>41841</v>
      </c>
      <c r="J27" s="6" t="s">
        <v>166</v>
      </c>
    </row>
    <row r="28" spans="1:10" x14ac:dyDescent="0.25">
      <c r="A28" s="4">
        <v>32</v>
      </c>
      <c r="B28" s="4" t="s">
        <v>103</v>
      </c>
      <c r="C28" s="4">
        <v>32</v>
      </c>
      <c r="D28" s="4" t="s">
        <v>10</v>
      </c>
      <c r="E28" s="4" t="s">
        <v>59</v>
      </c>
      <c r="F28" s="4" t="s">
        <v>104</v>
      </c>
      <c r="G28" s="4"/>
      <c r="H28" s="4" t="s">
        <v>105</v>
      </c>
      <c r="I28" s="4">
        <v>39835</v>
      </c>
      <c r="J28" s="6" t="s">
        <v>186</v>
      </c>
    </row>
    <row r="29" spans="1:10" x14ac:dyDescent="0.25">
      <c r="A29" s="4">
        <v>33</v>
      </c>
      <c r="B29" s="7" t="str">
        <f>J29</f>
        <v>sarika.patel</v>
      </c>
      <c r="C29" s="4">
        <v>33</v>
      </c>
      <c r="D29" s="4" t="s">
        <v>16</v>
      </c>
      <c r="E29" s="4" t="s">
        <v>62</v>
      </c>
      <c r="F29" s="4" t="s">
        <v>106</v>
      </c>
      <c r="G29" s="4">
        <f>91-6666666666</f>
        <v>-6666666575</v>
      </c>
      <c r="H29" s="4" t="s">
        <v>107</v>
      </c>
      <c r="I29" s="4">
        <v>9577</v>
      </c>
      <c r="J29" s="6" t="s">
        <v>187</v>
      </c>
    </row>
    <row r="30" spans="1:10" x14ac:dyDescent="0.25">
      <c r="A30" s="4">
        <v>34</v>
      </c>
      <c r="B30" s="4" t="s">
        <v>108</v>
      </c>
      <c r="C30" s="4">
        <v>30</v>
      </c>
      <c r="D30" s="4" t="s">
        <v>10</v>
      </c>
      <c r="E30" s="4" t="s">
        <v>66</v>
      </c>
      <c r="F30" s="4" t="s">
        <v>109</v>
      </c>
      <c r="G30" s="4"/>
      <c r="H30" s="4" t="s">
        <v>110</v>
      </c>
      <c r="I30" s="4">
        <v>29480</v>
      </c>
      <c r="J30" s="6" t="s">
        <v>188</v>
      </c>
    </row>
    <row r="31" spans="1:10" x14ac:dyDescent="0.25">
      <c r="A31" s="4">
        <v>36</v>
      </c>
      <c r="B31" s="4" t="s">
        <v>114</v>
      </c>
      <c r="C31" s="4">
        <v>29</v>
      </c>
      <c r="D31" s="4" t="s">
        <v>10</v>
      </c>
      <c r="E31" s="4" t="s">
        <v>27</v>
      </c>
      <c r="F31" s="4" t="s">
        <v>115</v>
      </c>
      <c r="G31" s="4">
        <f>91-7777777777</f>
        <v>-7777777686</v>
      </c>
      <c r="H31" s="4" t="s">
        <v>116</v>
      </c>
      <c r="I31" s="4">
        <v>37358</v>
      </c>
      <c r="J31" s="6" t="s">
        <v>190</v>
      </c>
    </row>
    <row r="32" spans="1:10" x14ac:dyDescent="0.25">
      <c r="A32" s="4">
        <v>37</v>
      </c>
      <c r="B32" s="7" t="str">
        <f>J32</f>
        <v>payal.sharma</v>
      </c>
      <c r="C32" s="4">
        <v>31</v>
      </c>
      <c r="D32" s="4" t="s">
        <v>16</v>
      </c>
      <c r="E32" s="4" t="s">
        <v>31</v>
      </c>
      <c r="F32" s="4" t="s">
        <v>117</v>
      </c>
      <c r="G32" s="4"/>
      <c r="H32" s="4" t="s">
        <v>118</v>
      </c>
      <c r="I32" s="4">
        <v>48367</v>
      </c>
      <c r="J32" s="6" t="s">
        <v>191</v>
      </c>
    </row>
    <row r="33" spans="1:10" x14ac:dyDescent="0.25">
      <c r="A33" s="4">
        <v>38</v>
      </c>
      <c r="B33" s="4" t="s">
        <v>119</v>
      </c>
      <c r="C33" s="4">
        <v>28</v>
      </c>
      <c r="D33" s="4" t="s">
        <v>10</v>
      </c>
      <c r="E33" s="4" t="s">
        <v>120</v>
      </c>
      <c r="F33" s="4" t="s">
        <v>121</v>
      </c>
      <c r="G33" s="4">
        <f>91-8888888888</f>
        <v>-8888888797</v>
      </c>
      <c r="H33" s="4" t="s">
        <v>122</v>
      </c>
      <c r="I33" s="4">
        <v>37473</v>
      </c>
      <c r="J33" s="6" t="s">
        <v>192</v>
      </c>
    </row>
    <row r="34" spans="1:10" x14ac:dyDescent="0.25">
      <c r="A34" s="4">
        <v>39</v>
      </c>
      <c r="B34" s="4" t="s">
        <v>123</v>
      </c>
      <c r="C34" s="4">
        <v>33</v>
      </c>
      <c r="D34" s="4" t="s">
        <v>16</v>
      </c>
      <c r="E34" s="4" t="s">
        <v>124</v>
      </c>
      <c r="F34" s="4" t="s">
        <v>125</v>
      </c>
      <c r="G34" s="4">
        <f>91-9999999999</f>
        <v>-9999999908</v>
      </c>
      <c r="H34" s="4" t="s">
        <v>126</v>
      </c>
      <c r="I34" s="4">
        <v>30628</v>
      </c>
      <c r="J34" s="6" t="s">
        <v>193</v>
      </c>
    </row>
    <row r="35" spans="1:10" x14ac:dyDescent="0.25">
      <c r="A35" s="4">
        <v>40</v>
      </c>
      <c r="B35" s="4" t="s">
        <v>127</v>
      </c>
      <c r="C35" s="4">
        <v>30</v>
      </c>
      <c r="D35" s="4" t="s">
        <v>10</v>
      </c>
      <c r="E35" s="4" t="s">
        <v>128</v>
      </c>
      <c r="F35" s="4" t="s">
        <v>129</v>
      </c>
      <c r="G35" s="4"/>
      <c r="H35" s="4" t="s">
        <v>130</v>
      </c>
      <c r="I35" s="4">
        <v>22018</v>
      </c>
      <c r="J35" s="6" t="s">
        <v>194</v>
      </c>
    </row>
    <row r="36" spans="1:10" x14ac:dyDescent="0.25">
      <c r="A36" s="4">
        <v>41</v>
      </c>
      <c r="B36" s="4" t="s">
        <v>131</v>
      </c>
      <c r="C36" s="4">
        <v>27</v>
      </c>
      <c r="D36" s="4" t="s">
        <v>16</v>
      </c>
      <c r="E36" s="4" t="s">
        <v>34</v>
      </c>
      <c r="F36" s="4" t="s">
        <v>132</v>
      </c>
      <c r="G36" s="4">
        <f>91-7777777777</f>
        <v>-7777777686</v>
      </c>
      <c r="H36" s="4" t="s">
        <v>133</v>
      </c>
      <c r="I36" s="4">
        <v>35747</v>
      </c>
      <c r="J36" s="6" t="s">
        <v>195</v>
      </c>
    </row>
    <row r="37" spans="1:10" x14ac:dyDescent="0.25">
      <c r="A37" s="4">
        <v>42</v>
      </c>
      <c r="B37" s="4" t="s">
        <v>134</v>
      </c>
      <c r="C37" s="4">
        <v>29</v>
      </c>
      <c r="D37" s="4" t="s">
        <v>10</v>
      </c>
      <c r="E37" s="4" t="s">
        <v>31</v>
      </c>
      <c r="F37" s="4" t="s">
        <v>135</v>
      </c>
      <c r="G37" s="4"/>
      <c r="H37" s="4" t="s">
        <v>136</v>
      </c>
      <c r="I37" s="4">
        <v>32258</v>
      </c>
      <c r="J37" s="6" t="s">
        <v>196</v>
      </c>
    </row>
    <row r="38" spans="1:10" x14ac:dyDescent="0.25">
      <c r="A38" s="4">
        <v>43</v>
      </c>
      <c r="B38" s="4" t="s">
        <v>137</v>
      </c>
      <c r="C38" s="4">
        <v>26</v>
      </c>
      <c r="D38" s="4" t="s">
        <v>16</v>
      </c>
      <c r="E38" s="4" t="s">
        <v>59</v>
      </c>
      <c r="F38" s="4" t="s">
        <v>138</v>
      </c>
      <c r="G38" s="4">
        <f>91-5555555555</f>
        <v>-5555555464</v>
      </c>
      <c r="H38" s="4" t="s">
        <v>139</v>
      </c>
      <c r="I38" s="4">
        <v>31047</v>
      </c>
      <c r="J38" s="6" t="s">
        <v>197</v>
      </c>
    </row>
    <row r="39" spans="1:10" x14ac:dyDescent="0.25">
      <c r="A39" s="4">
        <v>44</v>
      </c>
      <c r="B39" s="7" t="str">
        <f>J39</f>
        <v>mukesh.sharma</v>
      </c>
      <c r="C39" s="4">
        <v>28</v>
      </c>
      <c r="D39" s="4" t="s">
        <v>10</v>
      </c>
      <c r="E39" s="4" t="s">
        <v>62</v>
      </c>
      <c r="F39" s="4" t="s">
        <v>140</v>
      </c>
      <c r="G39" s="4"/>
      <c r="H39" s="4" t="s">
        <v>141</v>
      </c>
      <c r="I39" s="4">
        <v>31064</v>
      </c>
      <c r="J39" s="6" t="s">
        <v>198</v>
      </c>
    </row>
    <row r="40" spans="1:10" x14ac:dyDescent="0.25">
      <c r="A40" s="4">
        <v>45</v>
      </c>
      <c r="B40" s="4" t="s">
        <v>142</v>
      </c>
      <c r="C40" s="4">
        <v>31</v>
      </c>
      <c r="D40" s="4" t="s">
        <v>10</v>
      </c>
      <c r="E40" s="4" t="s">
        <v>66</v>
      </c>
      <c r="F40" s="4" t="s">
        <v>143</v>
      </c>
      <c r="G40" s="4">
        <f>91-8888888888</f>
        <v>-8888888797</v>
      </c>
      <c r="H40" s="4"/>
      <c r="I40" s="4">
        <v>3108</v>
      </c>
      <c r="J40" s="6" t="s">
        <v>199</v>
      </c>
    </row>
    <row r="41" spans="1:10" x14ac:dyDescent="0.25">
      <c r="A41" s="4">
        <v>46</v>
      </c>
      <c r="B41" s="4" t="s">
        <v>144</v>
      </c>
      <c r="C41" s="4">
        <v>27</v>
      </c>
      <c r="D41" s="4" t="s">
        <v>16</v>
      </c>
      <c r="E41" s="4" t="s">
        <v>120</v>
      </c>
      <c r="F41" s="4" t="s">
        <v>145</v>
      </c>
      <c r="G41" s="4">
        <f>91-7777777777</f>
        <v>-7777777686</v>
      </c>
      <c r="H41" s="4" t="s">
        <v>146</v>
      </c>
      <c r="I41" s="4">
        <v>20205</v>
      </c>
      <c r="J41" s="6" t="s">
        <v>200</v>
      </c>
    </row>
    <row r="42" spans="1:10" x14ac:dyDescent="0.25">
      <c r="A42" s="4">
        <v>47</v>
      </c>
      <c r="B42" s="7" t="str">
        <f>J42</f>
        <v>gaurav.kumar</v>
      </c>
      <c r="C42" s="4">
        <v>29</v>
      </c>
      <c r="D42" s="4" t="s">
        <v>10</v>
      </c>
      <c r="E42" s="4" t="s">
        <v>124</v>
      </c>
      <c r="F42" s="4" t="s">
        <v>147</v>
      </c>
      <c r="G42" s="4"/>
      <c r="H42" s="4" t="s">
        <v>148</v>
      </c>
      <c r="I42" s="4">
        <v>8746</v>
      </c>
      <c r="J42" s="6" t="s">
        <v>201</v>
      </c>
    </row>
    <row r="43" spans="1:10" x14ac:dyDescent="0.25">
      <c r="A43" s="4">
        <v>48</v>
      </c>
      <c r="B43" s="4" t="s">
        <v>149</v>
      </c>
      <c r="C43" s="4">
        <v>32</v>
      </c>
      <c r="D43" s="4" t="s">
        <v>16</v>
      </c>
      <c r="E43" s="4" t="s">
        <v>22</v>
      </c>
      <c r="F43" s="4" t="s">
        <v>150</v>
      </c>
      <c r="G43" s="4">
        <f>91-6666666666</f>
        <v>-6666666575</v>
      </c>
      <c r="H43" s="4" t="s">
        <v>151</v>
      </c>
      <c r="I43" s="4">
        <v>15531</v>
      </c>
      <c r="J43" s="6" t="s">
        <v>202</v>
      </c>
    </row>
    <row r="44" spans="1:10" x14ac:dyDescent="0.25">
      <c r="A44" s="4">
        <v>50</v>
      </c>
      <c r="B44" s="4" t="s">
        <v>155</v>
      </c>
      <c r="C44" s="4">
        <v>30</v>
      </c>
      <c r="D44" s="4" t="s">
        <v>16</v>
      </c>
      <c r="E44" s="4" t="s">
        <v>31</v>
      </c>
      <c r="F44" s="4" t="s">
        <v>156</v>
      </c>
      <c r="G44" s="4"/>
      <c r="H44" s="4" t="s">
        <v>157</v>
      </c>
      <c r="I44" s="4">
        <v>18647</v>
      </c>
      <c r="J44" s="6" t="s">
        <v>204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1"/>
  <sheetViews>
    <sheetView workbookViewId="0">
      <selection activeCell="L3" sqref="L3"/>
    </sheetView>
  </sheetViews>
  <sheetFormatPr defaultRowHeight="15" x14ac:dyDescent="0.25"/>
  <cols>
    <col min="2" max="2" width="12" customWidth="1"/>
    <col min="5" max="5" width="19.5703125" customWidth="1"/>
    <col min="6" max="6" width="22.85546875" customWidth="1"/>
    <col min="7" max="7" width="22.7109375" customWidth="1"/>
    <col min="8" max="8" width="36.140625" customWidth="1"/>
  </cols>
  <sheetData>
    <row r="1" spans="1:9" ht="16.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25">
      <c r="A2" s="4">
        <v>1</v>
      </c>
      <c r="B2" s="4" t="s">
        <v>9</v>
      </c>
      <c r="C2" s="4">
        <v>32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>
        <v>4553</v>
      </c>
    </row>
    <row r="3" spans="1:9" x14ac:dyDescent="0.25">
      <c r="A3" s="4">
        <v>2</v>
      </c>
      <c r="B3" s="4" t="s">
        <v>15</v>
      </c>
      <c r="C3" s="4">
        <v>28</v>
      </c>
      <c r="D3" s="4" t="s">
        <v>16</v>
      </c>
      <c r="E3" s="4" t="s">
        <v>17</v>
      </c>
      <c r="F3" s="4" t="s">
        <v>18</v>
      </c>
      <c r="G3" s="4" t="s">
        <v>19</v>
      </c>
      <c r="H3" s="4" t="s">
        <v>20</v>
      </c>
      <c r="I3" s="4">
        <v>31169</v>
      </c>
    </row>
    <row r="4" spans="1:9" x14ac:dyDescent="0.25">
      <c r="A4" s="4">
        <v>3</v>
      </c>
      <c r="B4" s="4" t="s">
        <v>21</v>
      </c>
      <c r="C4" s="4">
        <v>27</v>
      </c>
      <c r="D4" s="4" t="s">
        <v>10</v>
      </c>
      <c r="E4" s="4" t="s">
        <v>22</v>
      </c>
      <c r="F4" s="4" t="s">
        <v>23</v>
      </c>
      <c r="G4" s="4" t="s">
        <v>24</v>
      </c>
      <c r="H4" s="4" t="s">
        <v>25</v>
      </c>
      <c r="I4" s="4">
        <v>11116</v>
      </c>
    </row>
    <row r="5" spans="1:9" x14ac:dyDescent="0.25">
      <c r="A5" s="4">
        <v>4</v>
      </c>
      <c r="B5" s="4" t="s">
        <v>26</v>
      </c>
      <c r="C5" s="4">
        <v>33</v>
      </c>
      <c r="D5" s="4" t="s">
        <v>16</v>
      </c>
      <c r="E5" s="4" t="s">
        <v>27</v>
      </c>
      <c r="F5" s="4" t="s">
        <v>28</v>
      </c>
      <c r="G5" s="4" t="s">
        <v>29</v>
      </c>
      <c r="H5" s="4" t="s">
        <v>30</v>
      </c>
      <c r="I5" s="4">
        <v>33457</v>
      </c>
    </row>
    <row r="6" spans="1:9" x14ac:dyDescent="0.25">
      <c r="A6" s="4">
        <v>5</v>
      </c>
      <c r="B6" s="4"/>
      <c r="C6" s="4">
        <v>29</v>
      </c>
      <c r="D6" s="4" t="s">
        <v>16</v>
      </c>
      <c r="E6" s="4" t="s">
        <v>31</v>
      </c>
      <c r="F6" s="4" t="s">
        <v>32</v>
      </c>
      <c r="G6" s="4"/>
      <c r="H6" s="4"/>
      <c r="I6" s="4">
        <v>21918</v>
      </c>
    </row>
    <row r="7" spans="1:9" x14ac:dyDescent="0.25">
      <c r="A7" s="4">
        <v>6</v>
      </c>
      <c r="B7" s="4" t="s">
        <v>33</v>
      </c>
      <c r="C7" s="4">
        <v>34</v>
      </c>
      <c r="D7" s="4" t="s">
        <v>10</v>
      </c>
      <c r="E7" s="4" t="s">
        <v>34</v>
      </c>
      <c r="F7" s="4" t="s">
        <v>35</v>
      </c>
      <c r="G7" s="4"/>
      <c r="H7" s="4" t="s">
        <v>36</v>
      </c>
      <c r="I7" s="4">
        <v>33418</v>
      </c>
    </row>
    <row r="8" spans="1:9" x14ac:dyDescent="0.25">
      <c r="A8" s="4">
        <v>7</v>
      </c>
      <c r="B8" s="4" t="s">
        <v>37</v>
      </c>
      <c r="C8" s="4">
        <v>25</v>
      </c>
      <c r="D8" s="4" t="s">
        <v>16</v>
      </c>
      <c r="E8" s="4" t="s">
        <v>22</v>
      </c>
      <c r="F8" s="4"/>
      <c r="G8" s="4" t="s">
        <v>38</v>
      </c>
      <c r="H8" s="4" t="s">
        <v>39</v>
      </c>
      <c r="I8" s="4">
        <v>45828</v>
      </c>
    </row>
    <row r="9" spans="1:9" x14ac:dyDescent="0.25">
      <c r="A9" s="4">
        <v>8</v>
      </c>
      <c r="B9" s="4" t="s">
        <v>40</v>
      </c>
      <c r="C9" s="4">
        <v>31</v>
      </c>
      <c r="D9" s="4" t="s">
        <v>10</v>
      </c>
      <c r="E9" s="4" t="s">
        <v>27</v>
      </c>
      <c r="F9" s="4" t="s">
        <v>41</v>
      </c>
      <c r="G9" s="4">
        <f>91-8888888888</f>
        <v>-8888888797</v>
      </c>
      <c r="H9" s="4"/>
      <c r="I9" s="4">
        <v>45450</v>
      </c>
    </row>
    <row r="10" spans="1:9" x14ac:dyDescent="0.25">
      <c r="A10" s="4">
        <v>9</v>
      </c>
      <c r="B10" s="4" t="s">
        <v>42</v>
      </c>
      <c r="C10" s="4">
        <v>27</v>
      </c>
      <c r="D10" s="4" t="s">
        <v>16</v>
      </c>
      <c r="E10" s="4" t="s">
        <v>31</v>
      </c>
      <c r="F10" s="4" t="s">
        <v>43</v>
      </c>
      <c r="G10" s="4">
        <f>91-7777777777</f>
        <v>-7777777686</v>
      </c>
      <c r="H10" s="4" t="s">
        <v>44</v>
      </c>
      <c r="I10" s="4">
        <v>49938</v>
      </c>
    </row>
    <row r="11" spans="1:9" x14ac:dyDescent="0.25">
      <c r="A11" s="4">
        <v>10</v>
      </c>
      <c r="B11" s="4"/>
      <c r="C11" s="4">
        <v>35</v>
      </c>
      <c r="D11" s="4" t="s">
        <v>10</v>
      </c>
      <c r="E11" s="4" t="s">
        <v>11</v>
      </c>
      <c r="F11" s="4" t="s">
        <v>45</v>
      </c>
      <c r="G11" s="4"/>
      <c r="H11" s="4" t="s">
        <v>46</v>
      </c>
      <c r="I11" s="4">
        <v>9818</v>
      </c>
    </row>
    <row r="12" spans="1:9" x14ac:dyDescent="0.25">
      <c r="A12" s="4">
        <v>11</v>
      </c>
      <c r="B12" s="4" t="s">
        <v>47</v>
      </c>
      <c r="C12" s="4"/>
      <c r="D12" s="4" t="s">
        <v>16</v>
      </c>
      <c r="E12" s="4" t="s">
        <v>17</v>
      </c>
      <c r="F12" s="4" t="s">
        <v>48</v>
      </c>
      <c r="G12" s="4">
        <f>91-6666666666</f>
        <v>-6666666575</v>
      </c>
      <c r="H12" s="4" t="s">
        <v>49</v>
      </c>
      <c r="I12" s="4">
        <v>41836</v>
      </c>
    </row>
    <row r="13" spans="1:9" x14ac:dyDescent="0.25">
      <c r="A13" s="4">
        <v>12</v>
      </c>
      <c r="B13" s="4" t="s">
        <v>50</v>
      </c>
      <c r="C13" s="4">
        <v>29</v>
      </c>
      <c r="D13" s="4" t="s">
        <v>10</v>
      </c>
      <c r="E13" s="4" t="s">
        <v>17</v>
      </c>
      <c r="F13" s="4" t="s">
        <v>51</v>
      </c>
      <c r="G13" s="4">
        <f>91-5555555555</f>
        <v>-5555555464</v>
      </c>
      <c r="H13" s="4" t="s">
        <v>52</v>
      </c>
      <c r="I13" s="4">
        <v>11901</v>
      </c>
    </row>
    <row r="14" spans="1:9" x14ac:dyDescent="0.25">
      <c r="A14" s="4">
        <v>13</v>
      </c>
      <c r="B14" s="4"/>
      <c r="C14" s="4">
        <v>26</v>
      </c>
      <c r="D14" s="4" t="s">
        <v>10</v>
      </c>
      <c r="E14" s="4" t="s">
        <v>53</v>
      </c>
      <c r="F14" s="4"/>
      <c r="G14" s="4">
        <f>91-7777777777</f>
        <v>-7777777686</v>
      </c>
      <c r="H14" s="4" t="s">
        <v>54</v>
      </c>
      <c r="I14" s="4">
        <v>46236</v>
      </c>
    </row>
    <row r="15" spans="1:9" x14ac:dyDescent="0.25">
      <c r="A15" s="4">
        <v>14</v>
      </c>
      <c r="B15" s="4" t="s">
        <v>55</v>
      </c>
      <c r="C15" s="4">
        <v>28</v>
      </c>
      <c r="D15" s="4" t="s">
        <v>16</v>
      </c>
      <c r="E15" s="4" t="s">
        <v>56</v>
      </c>
      <c r="F15" s="4" t="s">
        <v>57</v>
      </c>
      <c r="G15" s="4"/>
      <c r="H15" s="4" t="s">
        <v>58</v>
      </c>
      <c r="I15" s="4">
        <v>21978</v>
      </c>
    </row>
    <row r="16" spans="1:9" x14ac:dyDescent="0.25">
      <c r="A16" s="4">
        <v>15</v>
      </c>
      <c r="B16" s="4"/>
      <c r="C16" s="4">
        <v>30</v>
      </c>
      <c r="D16" s="4" t="s">
        <v>16</v>
      </c>
      <c r="E16" s="4" t="s">
        <v>59</v>
      </c>
      <c r="F16" s="4" t="s">
        <v>60</v>
      </c>
      <c r="G16" s="4">
        <f>91-8888888888</f>
        <v>-8888888797</v>
      </c>
      <c r="H16" s="4"/>
      <c r="I16" s="4">
        <v>49400</v>
      </c>
    </row>
    <row r="17" spans="1:9" x14ac:dyDescent="0.25">
      <c r="A17" s="4">
        <v>16</v>
      </c>
      <c r="B17" s="4" t="s">
        <v>61</v>
      </c>
      <c r="C17" s="4">
        <v>32</v>
      </c>
      <c r="D17" s="4" t="s">
        <v>10</v>
      </c>
      <c r="E17" s="4" t="s">
        <v>62</v>
      </c>
      <c r="F17" s="4" t="s">
        <v>63</v>
      </c>
      <c r="G17" s="4">
        <f>91-1234567890</f>
        <v>-1234567799</v>
      </c>
      <c r="H17" s="4" t="s">
        <v>64</v>
      </c>
      <c r="I17" s="4">
        <v>28476</v>
      </c>
    </row>
    <row r="18" spans="1:9" x14ac:dyDescent="0.25">
      <c r="A18" s="4">
        <v>17</v>
      </c>
      <c r="B18" s="4" t="s">
        <v>65</v>
      </c>
      <c r="C18" s="4">
        <v>26</v>
      </c>
      <c r="D18" s="4" t="s">
        <v>16</v>
      </c>
      <c r="E18" s="4" t="s">
        <v>66</v>
      </c>
      <c r="F18" s="4" t="s">
        <v>67</v>
      </c>
      <c r="G18" s="4">
        <f>91-8765432109</f>
        <v>-8765432018</v>
      </c>
      <c r="H18" s="4"/>
      <c r="I18" s="4">
        <v>40088</v>
      </c>
    </row>
    <row r="19" spans="1:9" x14ac:dyDescent="0.25">
      <c r="A19" s="4">
        <v>18</v>
      </c>
      <c r="B19" s="4" t="s">
        <v>68</v>
      </c>
      <c r="C19" s="4">
        <v>28</v>
      </c>
      <c r="D19" s="4" t="s">
        <v>10</v>
      </c>
      <c r="E19" s="4" t="s">
        <v>34</v>
      </c>
      <c r="F19" s="4" t="s">
        <v>69</v>
      </c>
      <c r="G19" s="4">
        <f>91-9876543210</f>
        <v>-9876543119</v>
      </c>
      <c r="H19" s="4" t="s">
        <v>70</v>
      </c>
      <c r="I19" s="4">
        <v>2949</v>
      </c>
    </row>
    <row r="20" spans="1:9" x14ac:dyDescent="0.25">
      <c r="A20" s="4">
        <v>19</v>
      </c>
      <c r="B20" s="4" t="s">
        <v>71</v>
      </c>
      <c r="C20" s="4">
        <v>30</v>
      </c>
      <c r="D20" s="4" t="s">
        <v>16</v>
      </c>
      <c r="E20" s="4" t="s">
        <v>34</v>
      </c>
      <c r="F20" s="4" t="s">
        <v>72</v>
      </c>
      <c r="G20" s="4">
        <f>91-5555555555</f>
        <v>-5555555464</v>
      </c>
      <c r="H20" s="4" t="s">
        <v>73</v>
      </c>
      <c r="I20" s="4">
        <v>3337</v>
      </c>
    </row>
    <row r="21" spans="1:9" x14ac:dyDescent="0.25">
      <c r="A21" s="4">
        <v>20</v>
      </c>
      <c r="B21" s="4"/>
      <c r="C21" s="4">
        <v>32</v>
      </c>
      <c r="D21" s="4" t="s">
        <v>10</v>
      </c>
      <c r="E21" s="4" t="s">
        <v>59</v>
      </c>
      <c r="F21" s="4" t="s">
        <v>74</v>
      </c>
      <c r="G21" s="4">
        <f>91-9999999999</f>
        <v>-9999999908</v>
      </c>
      <c r="H21" s="4"/>
      <c r="I21" s="4">
        <v>2857</v>
      </c>
    </row>
    <row r="22" spans="1:9" x14ac:dyDescent="0.25">
      <c r="A22" s="4">
        <v>21</v>
      </c>
      <c r="B22" s="4" t="s">
        <v>75</v>
      </c>
      <c r="C22" s="4">
        <v>26</v>
      </c>
      <c r="D22" s="4" t="s">
        <v>16</v>
      </c>
      <c r="E22" s="4" t="s">
        <v>62</v>
      </c>
      <c r="F22" s="4" t="s">
        <v>76</v>
      </c>
      <c r="G22" s="4"/>
      <c r="H22" s="4" t="s">
        <v>77</v>
      </c>
      <c r="I22" s="4">
        <v>35969</v>
      </c>
    </row>
    <row r="23" spans="1:9" x14ac:dyDescent="0.25">
      <c r="A23" s="4">
        <v>22</v>
      </c>
      <c r="B23" s="4" t="s">
        <v>78</v>
      </c>
      <c r="C23" s="4">
        <v>33</v>
      </c>
      <c r="D23" s="4" t="s">
        <v>10</v>
      </c>
      <c r="E23" s="4" t="s">
        <v>66</v>
      </c>
      <c r="F23" s="4" t="s">
        <v>79</v>
      </c>
      <c r="G23" s="4">
        <f>91-8888888888</f>
        <v>-8888888797</v>
      </c>
      <c r="H23" s="4" t="s">
        <v>80</v>
      </c>
      <c r="I23" s="4">
        <v>49681</v>
      </c>
    </row>
    <row r="24" spans="1:9" x14ac:dyDescent="0.25">
      <c r="A24" s="4">
        <v>23</v>
      </c>
      <c r="B24" s="4"/>
      <c r="C24" s="4">
        <v>27</v>
      </c>
      <c r="D24" s="4" t="s">
        <v>16</v>
      </c>
      <c r="E24" s="4" t="s">
        <v>34</v>
      </c>
      <c r="F24" s="4"/>
      <c r="G24" s="4">
        <f>91-7777777777</f>
        <v>-7777777686</v>
      </c>
      <c r="H24" s="4" t="s">
        <v>81</v>
      </c>
      <c r="I24" s="4">
        <v>45102</v>
      </c>
    </row>
    <row r="25" spans="1:9" x14ac:dyDescent="0.25">
      <c r="A25" s="4">
        <v>24</v>
      </c>
      <c r="B25" s="4" t="s">
        <v>82</v>
      </c>
      <c r="C25" s="4">
        <v>29</v>
      </c>
      <c r="D25" s="4" t="s">
        <v>10</v>
      </c>
      <c r="E25" s="4" t="s">
        <v>11</v>
      </c>
      <c r="F25" s="4" t="s">
        <v>83</v>
      </c>
      <c r="G25" s="4" t="s">
        <v>84</v>
      </c>
      <c r="H25" s="4"/>
      <c r="I25" s="4">
        <v>15853</v>
      </c>
    </row>
    <row r="26" spans="1:9" x14ac:dyDescent="0.25">
      <c r="A26" s="4">
        <v>25</v>
      </c>
      <c r="B26" s="4" t="s">
        <v>85</v>
      </c>
      <c r="C26" s="4"/>
      <c r="D26" s="4" t="s">
        <v>16</v>
      </c>
      <c r="E26" s="4" t="s">
        <v>17</v>
      </c>
      <c r="F26" s="4" t="s">
        <v>86</v>
      </c>
      <c r="G26" s="4">
        <f>91-5555555555</f>
        <v>-5555555464</v>
      </c>
      <c r="H26" s="4" t="s">
        <v>87</v>
      </c>
      <c r="I26" s="4">
        <v>6926</v>
      </c>
    </row>
    <row r="27" spans="1:9" x14ac:dyDescent="0.25">
      <c r="A27" s="4">
        <v>26</v>
      </c>
      <c r="B27" s="4" t="s">
        <v>88</v>
      </c>
      <c r="C27" s="4">
        <v>31</v>
      </c>
      <c r="D27" s="4" t="s">
        <v>10</v>
      </c>
      <c r="E27" s="4" t="s">
        <v>59</v>
      </c>
      <c r="F27" s="4" t="s">
        <v>89</v>
      </c>
      <c r="G27" s="4"/>
      <c r="H27" s="4" t="s">
        <v>90</v>
      </c>
      <c r="I27" s="4">
        <v>45678</v>
      </c>
    </row>
    <row r="28" spans="1:9" x14ac:dyDescent="0.25">
      <c r="A28" s="4">
        <v>27</v>
      </c>
      <c r="B28" s="4" t="s">
        <v>91</v>
      </c>
      <c r="C28" s="4">
        <v>28</v>
      </c>
      <c r="D28" s="4" t="s">
        <v>16</v>
      </c>
      <c r="E28" s="4" t="s">
        <v>62</v>
      </c>
      <c r="F28" s="4" t="s">
        <v>92</v>
      </c>
      <c r="G28" s="4">
        <f>91-7777777777</f>
        <v>-7777777686</v>
      </c>
      <c r="H28" s="4" t="s">
        <v>93</v>
      </c>
      <c r="I28" s="4">
        <v>8022</v>
      </c>
    </row>
    <row r="29" spans="1:9" x14ac:dyDescent="0.25">
      <c r="A29" s="4">
        <v>28</v>
      </c>
      <c r="B29" s="4" t="s">
        <v>94</v>
      </c>
      <c r="C29" s="4">
        <v>34</v>
      </c>
      <c r="D29" s="4" t="s">
        <v>10</v>
      </c>
      <c r="E29" s="4" t="s">
        <v>66</v>
      </c>
      <c r="F29" s="4" t="s">
        <v>95</v>
      </c>
      <c r="G29" s="4">
        <f>91-8888888888</f>
        <v>-8888888797</v>
      </c>
      <c r="H29" s="4" t="s">
        <v>96</v>
      </c>
      <c r="I29" s="4">
        <v>3484</v>
      </c>
    </row>
    <row r="30" spans="1:9" x14ac:dyDescent="0.25">
      <c r="A30" s="4">
        <v>29</v>
      </c>
      <c r="B30" s="4" t="s">
        <v>97</v>
      </c>
      <c r="C30" s="4">
        <v>26</v>
      </c>
      <c r="D30" s="4" t="s">
        <v>16</v>
      </c>
      <c r="E30" s="4" t="s">
        <v>22</v>
      </c>
      <c r="F30" s="4" t="s">
        <v>98</v>
      </c>
      <c r="G30" s="4">
        <f>91-7777777777</f>
        <v>-7777777686</v>
      </c>
      <c r="H30" s="4" t="s">
        <v>99</v>
      </c>
      <c r="I30" s="4">
        <v>11342</v>
      </c>
    </row>
    <row r="31" spans="1:9" x14ac:dyDescent="0.25">
      <c r="A31" s="4">
        <v>30</v>
      </c>
      <c r="B31" s="4"/>
      <c r="C31" s="4">
        <v>29</v>
      </c>
      <c r="D31" s="4" t="s">
        <v>10</v>
      </c>
      <c r="E31" s="4" t="s">
        <v>27</v>
      </c>
      <c r="F31" s="4" t="s">
        <v>100</v>
      </c>
      <c r="G31" s="4"/>
      <c r="H31" s="4" t="s">
        <v>101</v>
      </c>
      <c r="I31" s="4">
        <v>40940</v>
      </c>
    </row>
    <row r="32" spans="1:9" x14ac:dyDescent="0.25">
      <c r="A32" s="4">
        <v>31</v>
      </c>
      <c r="B32" s="4" t="s">
        <v>42</v>
      </c>
      <c r="C32" s="4">
        <v>27</v>
      </c>
      <c r="D32" s="4" t="s">
        <v>16</v>
      </c>
      <c r="E32" s="4" t="s">
        <v>31</v>
      </c>
      <c r="F32" s="4" t="s">
        <v>102</v>
      </c>
      <c r="G32" s="4">
        <f>91-5555555555</f>
        <v>-5555555464</v>
      </c>
      <c r="H32" s="4"/>
      <c r="I32" s="4">
        <v>41841</v>
      </c>
    </row>
    <row r="33" spans="1:9" x14ac:dyDescent="0.25">
      <c r="A33" s="4">
        <v>32</v>
      </c>
      <c r="B33" s="4" t="s">
        <v>103</v>
      </c>
      <c r="C33" s="4">
        <v>32</v>
      </c>
      <c r="D33" s="4" t="s">
        <v>10</v>
      </c>
      <c r="E33" s="4" t="s">
        <v>59</v>
      </c>
      <c r="F33" s="4" t="s">
        <v>104</v>
      </c>
      <c r="G33" s="4"/>
      <c r="H33" s="4" t="s">
        <v>105</v>
      </c>
      <c r="I33" s="4">
        <v>39835</v>
      </c>
    </row>
    <row r="34" spans="1:9" x14ac:dyDescent="0.25">
      <c r="A34" s="4">
        <v>33</v>
      </c>
      <c r="B34" s="4"/>
      <c r="C34" s="4">
        <v>33</v>
      </c>
      <c r="D34" s="4" t="s">
        <v>16</v>
      </c>
      <c r="E34" s="4" t="s">
        <v>62</v>
      </c>
      <c r="F34" s="4" t="s">
        <v>106</v>
      </c>
      <c r="G34" s="4">
        <f>91-6666666666</f>
        <v>-6666666575</v>
      </c>
      <c r="H34" s="4" t="s">
        <v>107</v>
      </c>
      <c r="I34" s="4">
        <v>9577</v>
      </c>
    </row>
    <row r="35" spans="1:9" x14ac:dyDescent="0.25">
      <c r="A35" s="4">
        <v>34</v>
      </c>
      <c r="B35" s="4" t="s">
        <v>108</v>
      </c>
      <c r="C35" s="4">
        <v>30</v>
      </c>
      <c r="D35" s="4" t="s">
        <v>10</v>
      </c>
      <c r="E35" s="4" t="s">
        <v>66</v>
      </c>
      <c r="F35" s="4" t="s">
        <v>109</v>
      </c>
      <c r="G35" s="4"/>
      <c r="H35" s="4" t="s">
        <v>110</v>
      </c>
      <c r="I35" s="4">
        <v>29480</v>
      </c>
    </row>
    <row r="36" spans="1:9" x14ac:dyDescent="0.25">
      <c r="A36" s="4">
        <v>35</v>
      </c>
      <c r="B36" s="4" t="s">
        <v>111</v>
      </c>
      <c r="C36" s="4"/>
      <c r="D36" s="4" t="s">
        <v>16</v>
      </c>
      <c r="E36" s="4" t="s">
        <v>22</v>
      </c>
      <c r="F36" s="4" t="s">
        <v>112</v>
      </c>
      <c r="G36" s="4">
        <f>91-5555555555</f>
        <v>-5555555464</v>
      </c>
      <c r="H36" s="4" t="s">
        <v>113</v>
      </c>
      <c r="I36" s="4">
        <v>14254</v>
      </c>
    </row>
    <row r="37" spans="1:9" x14ac:dyDescent="0.25">
      <c r="A37" s="4">
        <v>36</v>
      </c>
      <c r="B37" s="4" t="s">
        <v>114</v>
      </c>
      <c r="C37" s="4">
        <v>29</v>
      </c>
      <c r="D37" s="4" t="s">
        <v>10</v>
      </c>
      <c r="E37" s="4" t="s">
        <v>27</v>
      </c>
      <c r="F37" s="4" t="s">
        <v>115</v>
      </c>
      <c r="G37" s="4">
        <f>91-7777777777</f>
        <v>-7777777686</v>
      </c>
      <c r="H37" s="4" t="s">
        <v>116</v>
      </c>
      <c r="I37" s="4">
        <v>37358</v>
      </c>
    </row>
    <row r="38" spans="1:9" x14ac:dyDescent="0.25">
      <c r="A38" s="4">
        <v>37</v>
      </c>
      <c r="B38" s="4"/>
      <c r="C38" s="4">
        <v>31</v>
      </c>
      <c r="D38" s="4" t="s">
        <v>16</v>
      </c>
      <c r="E38" s="4" t="s">
        <v>31</v>
      </c>
      <c r="F38" s="4" t="s">
        <v>117</v>
      </c>
      <c r="G38" s="4"/>
      <c r="H38" s="4" t="s">
        <v>118</v>
      </c>
      <c r="I38" s="4">
        <v>48367</v>
      </c>
    </row>
    <row r="39" spans="1:9" x14ac:dyDescent="0.25">
      <c r="A39" s="4">
        <v>38</v>
      </c>
      <c r="B39" s="4" t="s">
        <v>119</v>
      </c>
      <c r="C39" s="4">
        <v>28</v>
      </c>
      <c r="D39" s="4" t="s">
        <v>10</v>
      </c>
      <c r="E39" s="4" t="s">
        <v>120</v>
      </c>
      <c r="F39" s="4" t="s">
        <v>121</v>
      </c>
      <c r="G39" s="4">
        <f>91-8888888888</f>
        <v>-8888888797</v>
      </c>
      <c r="H39" s="4" t="s">
        <v>122</v>
      </c>
      <c r="I39" s="4">
        <v>37473</v>
      </c>
    </row>
    <row r="40" spans="1:9" x14ac:dyDescent="0.25">
      <c r="A40" s="4">
        <v>39</v>
      </c>
      <c r="B40" s="4" t="s">
        <v>123</v>
      </c>
      <c r="C40" s="4">
        <v>33</v>
      </c>
      <c r="D40" s="4" t="s">
        <v>16</v>
      </c>
      <c r="E40" s="4" t="s">
        <v>124</v>
      </c>
      <c r="F40" s="4" t="s">
        <v>125</v>
      </c>
      <c r="G40" s="4">
        <f>91-9999999999</f>
        <v>-9999999908</v>
      </c>
      <c r="H40" s="4" t="s">
        <v>126</v>
      </c>
      <c r="I40" s="4">
        <v>30628</v>
      </c>
    </row>
    <row r="41" spans="1:9" x14ac:dyDescent="0.25">
      <c r="A41" s="4">
        <v>40</v>
      </c>
      <c r="B41" s="4" t="s">
        <v>127</v>
      </c>
      <c r="C41" s="4">
        <v>30</v>
      </c>
      <c r="D41" s="4" t="s">
        <v>10</v>
      </c>
      <c r="E41" s="4" t="s">
        <v>128</v>
      </c>
      <c r="F41" s="4" t="s">
        <v>129</v>
      </c>
      <c r="G41" s="4"/>
      <c r="H41" s="4" t="s">
        <v>130</v>
      </c>
      <c r="I41" s="4">
        <v>22018</v>
      </c>
    </row>
    <row r="42" spans="1:9" x14ac:dyDescent="0.25">
      <c r="A42" s="4">
        <v>41</v>
      </c>
      <c r="B42" s="4" t="s">
        <v>131</v>
      </c>
      <c r="C42" s="4">
        <v>27</v>
      </c>
      <c r="D42" s="4" t="s">
        <v>16</v>
      </c>
      <c r="E42" s="4" t="s">
        <v>34</v>
      </c>
      <c r="F42" s="4" t="s">
        <v>132</v>
      </c>
      <c r="G42" s="4">
        <f>91-7777777777</f>
        <v>-7777777686</v>
      </c>
      <c r="H42" s="4" t="s">
        <v>133</v>
      </c>
      <c r="I42" s="4">
        <v>35747</v>
      </c>
    </row>
    <row r="43" spans="1:9" x14ac:dyDescent="0.25">
      <c r="A43" s="4">
        <v>42</v>
      </c>
      <c r="B43" s="4" t="s">
        <v>134</v>
      </c>
      <c r="C43" s="4">
        <v>29</v>
      </c>
      <c r="D43" s="4" t="s">
        <v>10</v>
      </c>
      <c r="E43" s="4" t="s">
        <v>31</v>
      </c>
      <c r="F43" s="4" t="s">
        <v>135</v>
      </c>
      <c r="G43" s="4"/>
      <c r="H43" s="4" t="s">
        <v>136</v>
      </c>
      <c r="I43" s="4">
        <v>32258</v>
      </c>
    </row>
    <row r="44" spans="1:9" x14ac:dyDescent="0.25">
      <c r="A44" s="4">
        <v>43</v>
      </c>
      <c r="B44" s="4" t="s">
        <v>137</v>
      </c>
      <c r="C44" s="4">
        <v>26</v>
      </c>
      <c r="D44" s="4" t="s">
        <v>16</v>
      </c>
      <c r="E44" s="4" t="s">
        <v>59</v>
      </c>
      <c r="F44" s="4" t="s">
        <v>138</v>
      </c>
      <c r="G44" s="4">
        <f>91-5555555555</f>
        <v>-5555555464</v>
      </c>
      <c r="H44" s="4" t="s">
        <v>139</v>
      </c>
      <c r="I44" s="4">
        <v>31047</v>
      </c>
    </row>
    <row r="45" spans="1:9" x14ac:dyDescent="0.25">
      <c r="A45" s="4">
        <v>44</v>
      </c>
      <c r="B45" s="4"/>
      <c r="C45" s="4">
        <v>28</v>
      </c>
      <c r="D45" s="4" t="s">
        <v>10</v>
      </c>
      <c r="E45" s="4" t="s">
        <v>62</v>
      </c>
      <c r="F45" s="4" t="s">
        <v>140</v>
      </c>
      <c r="G45" s="4"/>
      <c r="H45" s="4" t="s">
        <v>141</v>
      </c>
      <c r="I45" s="4">
        <v>31064</v>
      </c>
    </row>
    <row r="46" spans="1:9" x14ac:dyDescent="0.25">
      <c r="A46" s="4">
        <v>45</v>
      </c>
      <c r="B46" s="4" t="s">
        <v>142</v>
      </c>
      <c r="C46" s="4">
        <v>31</v>
      </c>
      <c r="D46" s="4" t="s">
        <v>10</v>
      </c>
      <c r="E46" s="4" t="s">
        <v>66</v>
      </c>
      <c r="F46" s="4" t="s">
        <v>143</v>
      </c>
      <c r="G46" s="4">
        <f>91-8888888888</f>
        <v>-8888888797</v>
      </c>
      <c r="H46" s="4"/>
      <c r="I46" s="4">
        <v>3108</v>
      </c>
    </row>
    <row r="47" spans="1:9" x14ac:dyDescent="0.25">
      <c r="A47" s="4">
        <v>46</v>
      </c>
      <c r="B47" s="4" t="s">
        <v>144</v>
      </c>
      <c r="C47" s="4">
        <v>27</v>
      </c>
      <c r="D47" s="4" t="s">
        <v>16</v>
      </c>
      <c r="E47" s="4" t="s">
        <v>120</v>
      </c>
      <c r="F47" s="4" t="s">
        <v>145</v>
      </c>
      <c r="G47" s="4">
        <f>91-7777777777</f>
        <v>-7777777686</v>
      </c>
      <c r="H47" s="4" t="s">
        <v>146</v>
      </c>
      <c r="I47" s="4">
        <v>20205</v>
      </c>
    </row>
    <row r="48" spans="1:9" x14ac:dyDescent="0.25">
      <c r="A48" s="4">
        <v>47</v>
      </c>
      <c r="B48" s="4"/>
      <c r="C48" s="4">
        <v>29</v>
      </c>
      <c r="D48" s="4" t="s">
        <v>10</v>
      </c>
      <c r="E48" s="4" t="s">
        <v>124</v>
      </c>
      <c r="F48" s="4" t="s">
        <v>147</v>
      </c>
      <c r="G48" s="4"/>
      <c r="H48" s="4" t="s">
        <v>148</v>
      </c>
      <c r="I48" s="4">
        <v>8746</v>
      </c>
    </row>
    <row r="49" spans="1:9" x14ac:dyDescent="0.25">
      <c r="A49" s="4">
        <v>48</v>
      </c>
      <c r="B49" s="4" t="s">
        <v>149</v>
      </c>
      <c r="C49" s="4">
        <v>32</v>
      </c>
      <c r="D49" s="4" t="s">
        <v>16</v>
      </c>
      <c r="E49" s="4" t="s">
        <v>22</v>
      </c>
      <c r="F49" s="4" t="s">
        <v>150</v>
      </c>
      <c r="G49" s="4">
        <f>91-6666666666</f>
        <v>-6666666575</v>
      </c>
      <c r="H49" s="4" t="s">
        <v>151</v>
      </c>
      <c r="I49" s="4">
        <v>15531</v>
      </c>
    </row>
    <row r="50" spans="1:9" x14ac:dyDescent="0.25">
      <c r="A50" s="4">
        <v>49</v>
      </c>
      <c r="B50" s="4" t="s">
        <v>152</v>
      </c>
      <c r="C50" s="4"/>
      <c r="D50" s="4" t="s">
        <v>10</v>
      </c>
      <c r="E50" s="4" t="s">
        <v>27</v>
      </c>
      <c r="F50" s="4" t="s">
        <v>153</v>
      </c>
      <c r="G50" s="4">
        <f>91-5555555555</f>
        <v>-5555555464</v>
      </c>
      <c r="H50" s="4" t="s">
        <v>154</v>
      </c>
      <c r="I50" s="4">
        <v>23055</v>
      </c>
    </row>
    <row r="51" spans="1:9" x14ac:dyDescent="0.25">
      <c r="A51" s="4">
        <v>50</v>
      </c>
      <c r="B51" s="4" t="s">
        <v>155</v>
      </c>
      <c r="C51" s="4">
        <v>30</v>
      </c>
      <c r="D51" s="4" t="s">
        <v>16</v>
      </c>
      <c r="E51" s="4" t="s">
        <v>31</v>
      </c>
      <c r="F51" s="4" t="s">
        <v>156</v>
      </c>
      <c r="G51" s="4"/>
      <c r="H51" s="4" t="s">
        <v>157</v>
      </c>
      <c r="I51" s="4">
        <v>18647</v>
      </c>
    </row>
  </sheetData>
  <conditionalFormatting sqref="I2:I51">
    <cfRule type="top10" dxfId="1" priority="1" rank="10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1"/>
  <sheetViews>
    <sheetView workbookViewId="0">
      <selection activeCell="K13" sqref="K13"/>
    </sheetView>
  </sheetViews>
  <sheetFormatPr defaultRowHeight="15" x14ac:dyDescent="0.25"/>
  <cols>
    <col min="2" max="2" width="11.140625" customWidth="1"/>
    <col min="5" max="5" width="14.85546875" customWidth="1"/>
    <col min="6" max="6" width="28" customWidth="1"/>
    <col min="7" max="7" width="16.42578125" customWidth="1"/>
    <col min="8" max="8" width="36.5703125" customWidth="1"/>
    <col min="11" max="11" width="27.28515625" customWidth="1"/>
  </cols>
  <sheetData>
    <row r="1" spans="1:11" ht="16.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11" x14ac:dyDescent="0.25">
      <c r="A2" s="4">
        <v>1</v>
      </c>
      <c r="B2" s="4" t="s">
        <v>9</v>
      </c>
      <c r="C2" s="4">
        <v>32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>
        <v>4553</v>
      </c>
      <c r="K2" s="13"/>
    </row>
    <row r="3" spans="1:11" x14ac:dyDescent="0.25">
      <c r="A3" s="4">
        <v>2</v>
      </c>
      <c r="B3" s="4" t="s">
        <v>15</v>
      </c>
      <c r="C3" s="4">
        <v>28</v>
      </c>
      <c r="D3" s="4" t="s">
        <v>16</v>
      </c>
      <c r="E3" s="4" t="s">
        <v>17</v>
      </c>
      <c r="F3" s="4" t="s">
        <v>18</v>
      </c>
      <c r="G3" s="4" t="s">
        <v>19</v>
      </c>
      <c r="H3" s="4" t="s">
        <v>20</v>
      </c>
      <c r="I3" s="4">
        <v>31169</v>
      </c>
    </row>
    <row r="4" spans="1:11" x14ac:dyDescent="0.25">
      <c r="A4" s="4">
        <v>3</v>
      </c>
      <c r="B4" s="4" t="s">
        <v>21</v>
      </c>
      <c r="C4" s="4">
        <v>27</v>
      </c>
      <c r="D4" s="4" t="s">
        <v>10</v>
      </c>
      <c r="E4" s="4" t="s">
        <v>22</v>
      </c>
      <c r="F4" s="4" t="s">
        <v>23</v>
      </c>
      <c r="G4" s="4" t="s">
        <v>24</v>
      </c>
      <c r="H4" s="4" t="s">
        <v>25</v>
      </c>
      <c r="I4" s="4">
        <v>11116</v>
      </c>
    </row>
    <row r="5" spans="1:11" x14ac:dyDescent="0.25">
      <c r="A5" s="4">
        <v>4</v>
      </c>
      <c r="B5" s="4" t="s">
        <v>26</v>
      </c>
      <c r="C5" s="4">
        <v>33</v>
      </c>
      <c r="D5" s="4" t="s">
        <v>16</v>
      </c>
      <c r="E5" s="4" t="s">
        <v>27</v>
      </c>
      <c r="F5" s="4" t="s">
        <v>28</v>
      </c>
      <c r="G5" s="4" t="s">
        <v>29</v>
      </c>
      <c r="H5" s="4" t="s">
        <v>30</v>
      </c>
      <c r="I5" s="4">
        <v>33457</v>
      </c>
    </row>
    <row r="6" spans="1:11" x14ac:dyDescent="0.25">
      <c r="A6" s="4">
        <v>5</v>
      </c>
      <c r="B6" s="4"/>
      <c r="C6" s="4">
        <v>29</v>
      </c>
      <c r="D6" s="4" t="s">
        <v>16</v>
      </c>
      <c r="E6" s="4" t="s">
        <v>31</v>
      </c>
      <c r="F6" s="4" t="s">
        <v>32</v>
      </c>
      <c r="G6" s="4"/>
      <c r="H6" s="4"/>
      <c r="I6" s="4">
        <v>21918</v>
      </c>
    </row>
    <row r="7" spans="1:11" x14ac:dyDescent="0.25">
      <c r="A7" s="4">
        <v>6</v>
      </c>
      <c r="B7" s="4" t="s">
        <v>33</v>
      </c>
      <c r="C7" s="4">
        <v>34</v>
      </c>
      <c r="D7" s="4" t="s">
        <v>10</v>
      </c>
      <c r="E7" s="4" t="s">
        <v>34</v>
      </c>
      <c r="F7" s="4" t="s">
        <v>35</v>
      </c>
      <c r="G7" s="4"/>
      <c r="H7" s="4" t="s">
        <v>36</v>
      </c>
      <c r="I7" s="4">
        <v>33418</v>
      </c>
    </row>
    <row r="8" spans="1:11" x14ac:dyDescent="0.25">
      <c r="A8" s="4">
        <v>7</v>
      </c>
      <c r="B8" s="4" t="s">
        <v>37</v>
      </c>
      <c r="C8" s="4">
        <v>25</v>
      </c>
      <c r="D8" s="4" t="s">
        <v>16</v>
      </c>
      <c r="E8" s="4" t="s">
        <v>22</v>
      </c>
      <c r="F8" s="14" t="s">
        <v>219</v>
      </c>
      <c r="G8" s="4" t="s">
        <v>38</v>
      </c>
      <c r="H8" s="4" t="s">
        <v>39</v>
      </c>
      <c r="I8" s="4">
        <v>45828</v>
      </c>
    </row>
    <row r="9" spans="1:11" x14ac:dyDescent="0.25">
      <c r="A9" s="4">
        <v>8</v>
      </c>
      <c r="B9" s="4" t="s">
        <v>40</v>
      </c>
      <c r="C9" s="4">
        <v>31</v>
      </c>
      <c r="D9" s="4" t="s">
        <v>10</v>
      </c>
      <c r="E9" s="4" t="s">
        <v>27</v>
      </c>
      <c r="F9" s="4" t="s">
        <v>41</v>
      </c>
      <c r="G9" s="4">
        <f>91-8888888888</f>
        <v>-8888888797</v>
      </c>
      <c r="H9" s="4"/>
      <c r="I9" s="4">
        <v>45450</v>
      </c>
    </row>
    <row r="10" spans="1:11" x14ac:dyDescent="0.25">
      <c r="A10" s="4">
        <v>9</v>
      </c>
      <c r="B10" s="4" t="s">
        <v>42</v>
      </c>
      <c r="C10" s="4">
        <v>27</v>
      </c>
      <c r="D10" s="4" t="s">
        <v>16</v>
      </c>
      <c r="E10" s="4" t="s">
        <v>31</v>
      </c>
      <c r="F10" s="4" t="s">
        <v>43</v>
      </c>
      <c r="G10" s="4">
        <f>91-7777777777</f>
        <v>-7777777686</v>
      </c>
      <c r="H10" s="4" t="s">
        <v>44</v>
      </c>
      <c r="I10" s="4">
        <v>49938</v>
      </c>
    </row>
    <row r="11" spans="1:11" x14ac:dyDescent="0.25">
      <c r="A11" s="4">
        <v>10</v>
      </c>
      <c r="B11" s="4"/>
      <c r="C11" s="4">
        <v>35</v>
      </c>
      <c r="D11" s="4" t="s">
        <v>10</v>
      </c>
      <c r="E11" s="4" t="s">
        <v>11</v>
      </c>
      <c r="F11" s="4" t="s">
        <v>45</v>
      </c>
      <c r="G11" s="4"/>
      <c r="H11" s="4" t="s">
        <v>46</v>
      </c>
      <c r="I11" s="4">
        <v>9818</v>
      </c>
    </row>
    <row r="12" spans="1:11" x14ac:dyDescent="0.25">
      <c r="A12" s="4">
        <v>11</v>
      </c>
      <c r="B12" s="4" t="s">
        <v>47</v>
      </c>
      <c r="C12" s="4"/>
      <c r="D12" s="4" t="s">
        <v>16</v>
      </c>
      <c r="E12" s="4" t="s">
        <v>17</v>
      </c>
      <c r="F12" s="4" t="s">
        <v>48</v>
      </c>
      <c r="G12" s="4">
        <f>91-6666666666</f>
        <v>-6666666575</v>
      </c>
      <c r="H12" s="4" t="s">
        <v>49</v>
      </c>
      <c r="I12" s="4">
        <v>41836</v>
      </c>
    </row>
    <row r="13" spans="1:11" x14ac:dyDescent="0.25">
      <c r="A13" s="4">
        <v>12</v>
      </c>
      <c r="B13" s="4" t="s">
        <v>50</v>
      </c>
      <c r="C13" s="4">
        <v>29</v>
      </c>
      <c r="D13" s="4" t="s">
        <v>10</v>
      </c>
      <c r="E13" s="4" t="s">
        <v>17</v>
      </c>
      <c r="F13" s="4" t="s">
        <v>51</v>
      </c>
      <c r="G13" s="4">
        <f>91-5555555555</f>
        <v>-5555555464</v>
      </c>
      <c r="H13" s="4" t="s">
        <v>52</v>
      </c>
      <c r="I13" s="4">
        <v>11901</v>
      </c>
    </row>
    <row r="14" spans="1:11" x14ac:dyDescent="0.25">
      <c r="A14" s="4">
        <v>13</v>
      </c>
      <c r="B14" s="4"/>
      <c r="C14" s="4">
        <v>26</v>
      </c>
      <c r="D14" s="4" t="s">
        <v>10</v>
      </c>
      <c r="E14" s="4" t="s">
        <v>53</v>
      </c>
      <c r="F14" s="14" t="s">
        <v>219</v>
      </c>
      <c r="G14" s="4">
        <f>91-7777777777</f>
        <v>-7777777686</v>
      </c>
      <c r="H14" s="4" t="s">
        <v>54</v>
      </c>
      <c r="I14" s="4">
        <v>46236</v>
      </c>
    </row>
    <row r="15" spans="1:11" x14ac:dyDescent="0.25">
      <c r="A15" s="4">
        <v>14</v>
      </c>
      <c r="B15" s="4" t="s">
        <v>55</v>
      </c>
      <c r="C15" s="4">
        <v>28</v>
      </c>
      <c r="D15" s="4" t="s">
        <v>16</v>
      </c>
      <c r="E15" s="4" t="s">
        <v>56</v>
      </c>
      <c r="F15" s="4" t="s">
        <v>57</v>
      </c>
      <c r="G15" s="4"/>
      <c r="H15" s="4" t="s">
        <v>58</v>
      </c>
      <c r="I15" s="4">
        <v>21978</v>
      </c>
    </row>
    <row r="16" spans="1:11" x14ac:dyDescent="0.25">
      <c r="A16" s="4">
        <v>15</v>
      </c>
      <c r="B16" s="4"/>
      <c r="C16" s="4">
        <v>30</v>
      </c>
      <c r="D16" s="4" t="s">
        <v>16</v>
      </c>
      <c r="E16" s="4" t="s">
        <v>59</v>
      </c>
      <c r="F16" s="4" t="s">
        <v>60</v>
      </c>
      <c r="G16" s="4">
        <f>91-8888888888</f>
        <v>-8888888797</v>
      </c>
      <c r="H16" s="4"/>
      <c r="I16" s="4">
        <v>49400</v>
      </c>
    </row>
    <row r="17" spans="1:9" x14ac:dyDescent="0.25">
      <c r="A17" s="4">
        <v>16</v>
      </c>
      <c r="B17" s="4" t="s">
        <v>61</v>
      </c>
      <c r="C17" s="4">
        <v>32</v>
      </c>
      <c r="D17" s="4" t="s">
        <v>10</v>
      </c>
      <c r="E17" s="4" t="s">
        <v>62</v>
      </c>
      <c r="F17" s="4" t="s">
        <v>63</v>
      </c>
      <c r="G17" s="4">
        <f>91-1234567890</f>
        <v>-1234567799</v>
      </c>
      <c r="H17" s="4" t="s">
        <v>64</v>
      </c>
      <c r="I17" s="4">
        <v>28476</v>
      </c>
    </row>
    <row r="18" spans="1:9" x14ac:dyDescent="0.25">
      <c r="A18" s="4">
        <v>17</v>
      </c>
      <c r="B18" s="4" t="s">
        <v>65</v>
      </c>
      <c r="C18" s="4">
        <v>26</v>
      </c>
      <c r="D18" s="4" t="s">
        <v>16</v>
      </c>
      <c r="E18" s="4" t="s">
        <v>66</v>
      </c>
      <c r="F18" s="4" t="s">
        <v>67</v>
      </c>
      <c r="G18" s="4">
        <f>91-8765432109</f>
        <v>-8765432018</v>
      </c>
      <c r="H18" s="4"/>
      <c r="I18" s="4">
        <v>40088</v>
      </c>
    </row>
    <row r="19" spans="1:9" x14ac:dyDescent="0.25">
      <c r="A19" s="4">
        <v>18</v>
      </c>
      <c r="B19" s="4" t="s">
        <v>68</v>
      </c>
      <c r="C19" s="4">
        <v>28</v>
      </c>
      <c r="D19" s="4" t="s">
        <v>10</v>
      </c>
      <c r="E19" s="4" t="s">
        <v>34</v>
      </c>
      <c r="F19" s="4" t="s">
        <v>69</v>
      </c>
      <c r="G19" s="4">
        <f>91-9876543210</f>
        <v>-9876543119</v>
      </c>
      <c r="H19" s="4" t="s">
        <v>70</v>
      </c>
      <c r="I19" s="4">
        <v>2949</v>
      </c>
    </row>
    <row r="20" spans="1:9" x14ac:dyDescent="0.25">
      <c r="A20" s="4">
        <v>19</v>
      </c>
      <c r="B20" s="4" t="s">
        <v>71</v>
      </c>
      <c r="C20" s="4">
        <v>30</v>
      </c>
      <c r="D20" s="4" t="s">
        <v>16</v>
      </c>
      <c r="E20" s="4" t="s">
        <v>34</v>
      </c>
      <c r="F20" s="4" t="s">
        <v>72</v>
      </c>
      <c r="G20" s="4">
        <f>91-5555555555</f>
        <v>-5555555464</v>
      </c>
      <c r="H20" s="4" t="s">
        <v>73</v>
      </c>
      <c r="I20" s="4">
        <v>3337</v>
      </c>
    </row>
    <row r="21" spans="1:9" x14ac:dyDescent="0.25">
      <c r="A21" s="4">
        <v>20</v>
      </c>
      <c r="B21" s="4"/>
      <c r="C21" s="4">
        <v>32</v>
      </c>
      <c r="D21" s="4" t="s">
        <v>10</v>
      </c>
      <c r="E21" s="4" t="s">
        <v>59</v>
      </c>
      <c r="F21" s="4" t="s">
        <v>74</v>
      </c>
      <c r="G21" s="4">
        <f>91-9999999999</f>
        <v>-9999999908</v>
      </c>
      <c r="H21" s="4"/>
      <c r="I21" s="4">
        <v>2857</v>
      </c>
    </row>
    <row r="22" spans="1:9" x14ac:dyDescent="0.25">
      <c r="A22" s="4">
        <v>21</v>
      </c>
      <c r="B22" s="4" t="s">
        <v>75</v>
      </c>
      <c r="C22" s="4">
        <v>26</v>
      </c>
      <c r="D22" s="4" t="s">
        <v>16</v>
      </c>
      <c r="E22" s="4" t="s">
        <v>62</v>
      </c>
      <c r="F22" s="4" t="s">
        <v>76</v>
      </c>
      <c r="G22" s="4"/>
      <c r="H22" s="4" t="s">
        <v>77</v>
      </c>
      <c r="I22" s="4">
        <v>35969</v>
      </c>
    </row>
    <row r="23" spans="1:9" x14ac:dyDescent="0.25">
      <c r="A23" s="4">
        <v>22</v>
      </c>
      <c r="B23" s="4" t="s">
        <v>78</v>
      </c>
      <c r="C23" s="4">
        <v>33</v>
      </c>
      <c r="D23" s="4" t="s">
        <v>10</v>
      </c>
      <c r="E23" s="4" t="s">
        <v>66</v>
      </c>
      <c r="F23" s="4" t="s">
        <v>79</v>
      </c>
      <c r="G23" s="4">
        <f>91-8888888888</f>
        <v>-8888888797</v>
      </c>
      <c r="H23" s="4" t="s">
        <v>80</v>
      </c>
      <c r="I23" s="4">
        <v>49681</v>
      </c>
    </row>
    <row r="24" spans="1:9" x14ac:dyDescent="0.25">
      <c r="A24" s="4">
        <v>23</v>
      </c>
      <c r="B24" s="4"/>
      <c r="C24" s="4">
        <v>27</v>
      </c>
      <c r="D24" s="4" t="s">
        <v>16</v>
      </c>
      <c r="E24" s="4" t="s">
        <v>34</v>
      </c>
      <c r="F24" s="14" t="s">
        <v>219</v>
      </c>
      <c r="G24" s="4">
        <f>91-7777777777</f>
        <v>-7777777686</v>
      </c>
      <c r="H24" s="4" t="s">
        <v>81</v>
      </c>
      <c r="I24" s="4">
        <v>45102</v>
      </c>
    </row>
    <row r="25" spans="1:9" x14ac:dyDescent="0.25">
      <c r="A25" s="4">
        <v>24</v>
      </c>
      <c r="B25" s="4" t="s">
        <v>82</v>
      </c>
      <c r="C25" s="4">
        <v>29</v>
      </c>
      <c r="D25" s="4" t="s">
        <v>10</v>
      </c>
      <c r="E25" s="4" t="s">
        <v>11</v>
      </c>
      <c r="F25" s="4" t="s">
        <v>83</v>
      </c>
      <c r="G25" s="4" t="s">
        <v>84</v>
      </c>
      <c r="H25" s="4"/>
      <c r="I25" s="4">
        <v>15853</v>
      </c>
    </row>
    <row r="26" spans="1:9" x14ac:dyDescent="0.25">
      <c r="A26" s="4">
        <v>25</v>
      </c>
      <c r="B26" s="4" t="s">
        <v>85</v>
      </c>
      <c r="C26" s="4"/>
      <c r="D26" s="4" t="s">
        <v>16</v>
      </c>
      <c r="E26" s="4" t="s">
        <v>17</v>
      </c>
      <c r="F26" s="4" t="s">
        <v>86</v>
      </c>
      <c r="G26" s="4">
        <f>91-5555555555</f>
        <v>-5555555464</v>
      </c>
      <c r="H26" s="4" t="s">
        <v>87</v>
      </c>
      <c r="I26" s="4">
        <v>6926</v>
      </c>
    </row>
    <row r="27" spans="1:9" x14ac:dyDescent="0.25">
      <c r="A27" s="4">
        <v>26</v>
      </c>
      <c r="B27" s="4" t="s">
        <v>88</v>
      </c>
      <c r="C27" s="4">
        <v>31</v>
      </c>
      <c r="D27" s="4" t="s">
        <v>10</v>
      </c>
      <c r="E27" s="4" t="s">
        <v>59</v>
      </c>
      <c r="F27" s="4" t="s">
        <v>89</v>
      </c>
      <c r="G27" s="4"/>
      <c r="H27" s="4" t="s">
        <v>90</v>
      </c>
      <c r="I27" s="4">
        <v>45678</v>
      </c>
    </row>
    <row r="28" spans="1:9" x14ac:dyDescent="0.25">
      <c r="A28" s="4">
        <v>27</v>
      </c>
      <c r="B28" s="4" t="s">
        <v>91</v>
      </c>
      <c r="C28" s="4">
        <v>28</v>
      </c>
      <c r="D28" s="4" t="s">
        <v>16</v>
      </c>
      <c r="E28" s="4" t="s">
        <v>62</v>
      </c>
      <c r="F28" s="4" t="s">
        <v>92</v>
      </c>
      <c r="G28" s="4">
        <f>91-7777777777</f>
        <v>-7777777686</v>
      </c>
      <c r="H28" s="4" t="s">
        <v>93</v>
      </c>
      <c r="I28" s="4">
        <v>8022</v>
      </c>
    </row>
    <row r="29" spans="1:9" x14ac:dyDescent="0.25">
      <c r="A29" s="4">
        <v>28</v>
      </c>
      <c r="B29" s="4" t="s">
        <v>94</v>
      </c>
      <c r="C29" s="4">
        <v>34</v>
      </c>
      <c r="D29" s="4" t="s">
        <v>10</v>
      </c>
      <c r="E29" s="4" t="s">
        <v>66</v>
      </c>
      <c r="F29" s="4" t="s">
        <v>95</v>
      </c>
      <c r="G29" s="4">
        <f>91-8888888888</f>
        <v>-8888888797</v>
      </c>
      <c r="H29" s="4" t="s">
        <v>96</v>
      </c>
      <c r="I29" s="4">
        <v>3484</v>
      </c>
    </row>
    <row r="30" spans="1:9" x14ac:dyDescent="0.25">
      <c r="A30" s="4">
        <v>29</v>
      </c>
      <c r="B30" s="4" t="s">
        <v>97</v>
      </c>
      <c r="C30" s="4">
        <v>26</v>
      </c>
      <c r="D30" s="4" t="s">
        <v>16</v>
      </c>
      <c r="E30" s="4" t="s">
        <v>22</v>
      </c>
      <c r="F30" s="4" t="s">
        <v>98</v>
      </c>
      <c r="G30" s="4">
        <f>91-7777777777</f>
        <v>-7777777686</v>
      </c>
      <c r="H30" s="4" t="s">
        <v>99</v>
      </c>
      <c r="I30" s="4">
        <v>11342</v>
      </c>
    </row>
    <row r="31" spans="1:9" x14ac:dyDescent="0.25">
      <c r="A31" s="4">
        <v>30</v>
      </c>
      <c r="B31" s="4"/>
      <c r="C31" s="4">
        <v>29</v>
      </c>
      <c r="D31" s="4" t="s">
        <v>10</v>
      </c>
      <c r="E31" s="4" t="s">
        <v>27</v>
      </c>
      <c r="F31" s="4" t="s">
        <v>100</v>
      </c>
      <c r="G31" s="4"/>
      <c r="H31" s="4" t="s">
        <v>101</v>
      </c>
      <c r="I31" s="4">
        <v>40940</v>
      </c>
    </row>
    <row r="32" spans="1:9" x14ac:dyDescent="0.25">
      <c r="A32" s="4">
        <v>31</v>
      </c>
      <c r="B32" s="4" t="s">
        <v>42</v>
      </c>
      <c r="C32" s="4">
        <v>27</v>
      </c>
      <c r="D32" s="4" t="s">
        <v>16</v>
      </c>
      <c r="E32" s="4" t="s">
        <v>31</v>
      </c>
      <c r="F32" s="4" t="s">
        <v>102</v>
      </c>
      <c r="G32" s="4">
        <f>91-5555555555</f>
        <v>-5555555464</v>
      </c>
      <c r="H32" s="4"/>
      <c r="I32" s="4">
        <v>41841</v>
      </c>
    </row>
    <row r="33" spans="1:9" x14ac:dyDescent="0.25">
      <c r="A33" s="4">
        <v>32</v>
      </c>
      <c r="B33" s="4" t="s">
        <v>103</v>
      </c>
      <c r="C33" s="4">
        <v>32</v>
      </c>
      <c r="D33" s="4" t="s">
        <v>10</v>
      </c>
      <c r="E33" s="4" t="s">
        <v>59</v>
      </c>
      <c r="F33" s="4" t="s">
        <v>104</v>
      </c>
      <c r="G33" s="4"/>
      <c r="H33" s="4" t="s">
        <v>105</v>
      </c>
      <c r="I33" s="4">
        <v>39835</v>
      </c>
    </row>
    <row r="34" spans="1:9" x14ac:dyDescent="0.25">
      <c r="A34" s="4">
        <v>33</v>
      </c>
      <c r="B34" s="4"/>
      <c r="C34" s="4">
        <v>33</v>
      </c>
      <c r="D34" s="4" t="s">
        <v>16</v>
      </c>
      <c r="E34" s="4" t="s">
        <v>62</v>
      </c>
      <c r="F34" s="4" t="s">
        <v>106</v>
      </c>
      <c r="G34" s="4">
        <f>91-6666666666</f>
        <v>-6666666575</v>
      </c>
      <c r="H34" s="4" t="s">
        <v>107</v>
      </c>
      <c r="I34" s="4">
        <v>9577</v>
      </c>
    </row>
    <row r="35" spans="1:9" x14ac:dyDescent="0.25">
      <c r="A35" s="4">
        <v>34</v>
      </c>
      <c r="B35" s="4" t="s">
        <v>108</v>
      </c>
      <c r="C35" s="4">
        <v>30</v>
      </c>
      <c r="D35" s="4" t="s">
        <v>10</v>
      </c>
      <c r="E35" s="4" t="s">
        <v>66</v>
      </c>
      <c r="F35" s="4" t="s">
        <v>109</v>
      </c>
      <c r="G35" s="4"/>
      <c r="H35" s="4" t="s">
        <v>110</v>
      </c>
      <c r="I35" s="4">
        <v>29480</v>
      </c>
    </row>
    <row r="36" spans="1:9" x14ac:dyDescent="0.25">
      <c r="A36" s="4">
        <v>35</v>
      </c>
      <c r="B36" s="4" t="s">
        <v>111</v>
      </c>
      <c r="C36" s="4"/>
      <c r="D36" s="4" t="s">
        <v>16</v>
      </c>
      <c r="E36" s="4" t="s">
        <v>22</v>
      </c>
      <c r="F36" s="4" t="s">
        <v>112</v>
      </c>
      <c r="G36" s="4">
        <f>91-5555555555</f>
        <v>-5555555464</v>
      </c>
      <c r="H36" s="4" t="s">
        <v>113</v>
      </c>
      <c r="I36" s="4">
        <v>14254</v>
      </c>
    </row>
    <row r="37" spans="1:9" x14ac:dyDescent="0.25">
      <c r="A37" s="4">
        <v>36</v>
      </c>
      <c r="B37" s="4" t="s">
        <v>114</v>
      </c>
      <c r="C37" s="4">
        <v>29</v>
      </c>
      <c r="D37" s="4" t="s">
        <v>10</v>
      </c>
      <c r="E37" s="4" t="s">
        <v>27</v>
      </c>
      <c r="F37" s="4" t="s">
        <v>115</v>
      </c>
      <c r="G37" s="4">
        <f>91-7777777777</f>
        <v>-7777777686</v>
      </c>
      <c r="H37" s="4" t="s">
        <v>116</v>
      </c>
      <c r="I37" s="4">
        <v>37358</v>
      </c>
    </row>
    <row r="38" spans="1:9" x14ac:dyDescent="0.25">
      <c r="A38" s="4">
        <v>37</v>
      </c>
      <c r="B38" s="4"/>
      <c r="C38" s="4">
        <v>31</v>
      </c>
      <c r="D38" s="4" t="s">
        <v>16</v>
      </c>
      <c r="E38" s="4" t="s">
        <v>31</v>
      </c>
      <c r="F38" s="4" t="s">
        <v>117</v>
      </c>
      <c r="G38" s="4"/>
      <c r="H38" s="4" t="s">
        <v>118</v>
      </c>
      <c r="I38" s="4">
        <v>48367</v>
      </c>
    </row>
    <row r="39" spans="1:9" x14ac:dyDescent="0.25">
      <c r="A39" s="4">
        <v>38</v>
      </c>
      <c r="B39" s="4" t="s">
        <v>119</v>
      </c>
      <c r="C39" s="4">
        <v>28</v>
      </c>
      <c r="D39" s="4" t="s">
        <v>10</v>
      </c>
      <c r="E39" s="4" t="s">
        <v>120</v>
      </c>
      <c r="F39" s="4" t="s">
        <v>121</v>
      </c>
      <c r="G39" s="4">
        <f>91-8888888888</f>
        <v>-8888888797</v>
      </c>
      <c r="H39" s="4" t="s">
        <v>122</v>
      </c>
      <c r="I39" s="4">
        <v>37473</v>
      </c>
    </row>
    <row r="40" spans="1:9" x14ac:dyDescent="0.25">
      <c r="A40" s="4">
        <v>39</v>
      </c>
      <c r="B40" s="4" t="s">
        <v>123</v>
      </c>
      <c r="C40" s="4">
        <v>33</v>
      </c>
      <c r="D40" s="4" t="s">
        <v>16</v>
      </c>
      <c r="E40" s="4" t="s">
        <v>124</v>
      </c>
      <c r="F40" s="4" t="s">
        <v>125</v>
      </c>
      <c r="G40" s="4">
        <f>91-9999999999</f>
        <v>-9999999908</v>
      </c>
      <c r="H40" s="4" t="s">
        <v>126</v>
      </c>
      <c r="I40" s="4">
        <v>30628</v>
      </c>
    </row>
    <row r="41" spans="1:9" x14ac:dyDescent="0.25">
      <c r="A41" s="4">
        <v>40</v>
      </c>
      <c r="B41" s="4" t="s">
        <v>127</v>
      </c>
      <c r="C41" s="4">
        <v>30</v>
      </c>
      <c r="D41" s="4" t="s">
        <v>10</v>
      </c>
      <c r="E41" s="4" t="s">
        <v>128</v>
      </c>
      <c r="F41" s="4" t="s">
        <v>129</v>
      </c>
      <c r="G41" s="4"/>
      <c r="H41" s="4" t="s">
        <v>130</v>
      </c>
      <c r="I41" s="4">
        <v>22018</v>
      </c>
    </row>
    <row r="42" spans="1:9" x14ac:dyDescent="0.25">
      <c r="A42" s="4">
        <v>41</v>
      </c>
      <c r="B42" s="4" t="s">
        <v>131</v>
      </c>
      <c r="C42" s="4">
        <v>27</v>
      </c>
      <c r="D42" s="4" t="s">
        <v>16</v>
      </c>
      <c r="E42" s="4" t="s">
        <v>34</v>
      </c>
      <c r="F42" s="4" t="s">
        <v>132</v>
      </c>
      <c r="G42" s="4">
        <f>91-7777777777</f>
        <v>-7777777686</v>
      </c>
      <c r="H42" s="4" t="s">
        <v>133</v>
      </c>
      <c r="I42" s="4">
        <v>35747</v>
      </c>
    </row>
    <row r="43" spans="1:9" x14ac:dyDescent="0.25">
      <c r="A43" s="4">
        <v>42</v>
      </c>
      <c r="B43" s="4" t="s">
        <v>134</v>
      </c>
      <c r="C43" s="4">
        <v>29</v>
      </c>
      <c r="D43" s="4" t="s">
        <v>10</v>
      </c>
      <c r="E43" s="4" t="s">
        <v>31</v>
      </c>
      <c r="F43" s="4" t="s">
        <v>135</v>
      </c>
      <c r="G43" s="4"/>
      <c r="H43" s="4" t="s">
        <v>136</v>
      </c>
      <c r="I43" s="4">
        <v>32258</v>
      </c>
    </row>
    <row r="44" spans="1:9" x14ac:dyDescent="0.25">
      <c r="A44" s="4">
        <v>43</v>
      </c>
      <c r="B44" s="4" t="s">
        <v>137</v>
      </c>
      <c r="C44" s="4">
        <v>26</v>
      </c>
      <c r="D44" s="4" t="s">
        <v>16</v>
      </c>
      <c r="E44" s="4" t="s">
        <v>59</v>
      </c>
      <c r="F44" s="4" t="s">
        <v>138</v>
      </c>
      <c r="G44" s="4">
        <f>91-5555555555</f>
        <v>-5555555464</v>
      </c>
      <c r="H44" s="4" t="s">
        <v>139</v>
      </c>
      <c r="I44" s="4">
        <v>31047</v>
      </c>
    </row>
    <row r="45" spans="1:9" x14ac:dyDescent="0.25">
      <c r="A45" s="4">
        <v>44</v>
      </c>
      <c r="B45" s="4"/>
      <c r="C45" s="4">
        <v>28</v>
      </c>
      <c r="D45" s="4" t="s">
        <v>10</v>
      </c>
      <c r="E45" s="4" t="s">
        <v>62</v>
      </c>
      <c r="F45" s="4" t="s">
        <v>140</v>
      </c>
      <c r="G45" s="4"/>
      <c r="H45" s="4" t="s">
        <v>141</v>
      </c>
      <c r="I45" s="4">
        <v>31064</v>
      </c>
    </row>
    <row r="46" spans="1:9" x14ac:dyDescent="0.25">
      <c r="A46" s="4">
        <v>45</v>
      </c>
      <c r="B46" s="4" t="s">
        <v>142</v>
      </c>
      <c r="C46" s="4">
        <v>31</v>
      </c>
      <c r="D46" s="4" t="s">
        <v>10</v>
      </c>
      <c r="E46" s="4" t="s">
        <v>66</v>
      </c>
      <c r="F46" s="4" t="s">
        <v>143</v>
      </c>
      <c r="G46" s="4">
        <f>91-8888888888</f>
        <v>-8888888797</v>
      </c>
      <c r="H46" s="4"/>
      <c r="I46" s="4">
        <v>3108</v>
      </c>
    </row>
    <row r="47" spans="1:9" x14ac:dyDescent="0.25">
      <c r="A47" s="4">
        <v>46</v>
      </c>
      <c r="B47" s="4" t="s">
        <v>144</v>
      </c>
      <c r="C47" s="4">
        <v>27</v>
      </c>
      <c r="D47" s="4" t="s">
        <v>16</v>
      </c>
      <c r="E47" s="4" t="s">
        <v>120</v>
      </c>
      <c r="F47" s="4" t="s">
        <v>145</v>
      </c>
      <c r="G47" s="4">
        <f>91-7777777777</f>
        <v>-7777777686</v>
      </c>
      <c r="H47" s="4" t="s">
        <v>146</v>
      </c>
      <c r="I47" s="4">
        <v>20205</v>
      </c>
    </row>
    <row r="48" spans="1:9" x14ac:dyDescent="0.25">
      <c r="A48" s="4">
        <v>47</v>
      </c>
      <c r="B48" s="4"/>
      <c r="C48" s="4">
        <v>29</v>
      </c>
      <c r="D48" s="4" t="s">
        <v>10</v>
      </c>
      <c r="E48" s="4" t="s">
        <v>124</v>
      </c>
      <c r="F48" s="4" t="s">
        <v>147</v>
      </c>
      <c r="G48" s="4"/>
      <c r="H48" s="4" t="s">
        <v>148</v>
      </c>
      <c r="I48" s="4">
        <v>8746</v>
      </c>
    </row>
    <row r="49" spans="1:9" x14ac:dyDescent="0.25">
      <c r="A49" s="4">
        <v>48</v>
      </c>
      <c r="B49" s="4" t="s">
        <v>149</v>
      </c>
      <c r="C49" s="4">
        <v>32</v>
      </c>
      <c r="D49" s="4" t="s">
        <v>16</v>
      </c>
      <c r="E49" s="4" t="s">
        <v>22</v>
      </c>
      <c r="F49" s="4" t="s">
        <v>150</v>
      </c>
      <c r="G49" s="4">
        <f>91-6666666666</f>
        <v>-6666666575</v>
      </c>
      <c r="H49" s="4" t="s">
        <v>151</v>
      </c>
      <c r="I49" s="4">
        <v>15531</v>
      </c>
    </row>
    <row r="50" spans="1:9" x14ac:dyDescent="0.25">
      <c r="A50" s="4">
        <v>49</v>
      </c>
      <c r="B50" s="4" t="s">
        <v>152</v>
      </c>
      <c r="C50" s="4"/>
      <c r="D50" s="4" t="s">
        <v>10</v>
      </c>
      <c r="E50" s="4" t="s">
        <v>27</v>
      </c>
      <c r="F50" s="4" t="s">
        <v>153</v>
      </c>
      <c r="G50" s="4">
        <f>91-5555555555</f>
        <v>-5555555464</v>
      </c>
      <c r="H50" s="4" t="s">
        <v>154</v>
      </c>
      <c r="I50" s="4">
        <v>23055</v>
      </c>
    </row>
    <row r="51" spans="1:9" x14ac:dyDescent="0.25">
      <c r="A51" s="4">
        <v>50</v>
      </c>
      <c r="B51" s="4" t="s">
        <v>155</v>
      </c>
      <c r="C51" s="4">
        <v>30</v>
      </c>
      <c r="D51" s="4" t="s">
        <v>16</v>
      </c>
      <c r="E51" s="4" t="s">
        <v>31</v>
      </c>
      <c r="F51" s="4" t="s">
        <v>156</v>
      </c>
      <c r="G51" s="4"/>
      <c r="H51" s="4" t="s">
        <v>157</v>
      </c>
      <c r="I51" s="4">
        <v>18647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1"/>
  <sheetViews>
    <sheetView topLeftCell="A18" workbookViewId="0">
      <selection activeCell="J32" sqref="J32"/>
    </sheetView>
  </sheetViews>
  <sheetFormatPr defaultRowHeight="15" x14ac:dyDescent="0.25"/>
  <cols>
    <col min="2" max="2" width="11.28515625" customWidth="1"/>
    <col min="5" max="5" width="19.42578125" customWidth="1"/>
    <col min="6" max="6" width="29" customWidth="1"/>
    <col min="7" max="7" width="21.28515625" customWidth="1"/>
    <col min="8" max="8" width="39.85546875" customWidth="1"/>
  </cols>
  <sheetData>
    <row r="1" spans="1:9" ht="16.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25">
      <c r="A2" s="4">
        <v>1</v>
      </c>
      <c r="B2" s="4" t="s">
        <v>9</v>
      </c>
      <c r="C2" s="4">
        <v>32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>
        <v>4553</v>
      </c>
    </row>
    <row r="3" spans="1:9" x14ac:dyDescent="0.25">
      <c r="A3" s="4">
        <v>2</v>
      </c>
      <c r="B3" s="4" t="s">
        <v>15</v>
      </c>
      <c r="C3" s="4">
        <v>28</v>
      </c>
      <c r="D3" s="4" t="s">
        <v>16</v>
      </c>
      <c r="E3" s="4" t="s">
        <v>17</v>
      </c>
      <c r="F3" s="4" t="s">
        <v>18</v>
      </c>
      <c r="G3" s="4" t="s">
        <v>19</v>
      </c>
      <c r="H3" s="4" t="s">
        <v>20</v>
      </c>
      <c r="I3" s="4">
        <v>31169</v>
      </c>
    </row>
    <row r="4" spans="1:9" x14ac:dyDescent="0.25">
      <c r="A4" s="4">
        <v>3</v>
      </c>
      <c r="B4" s="4" t="s">
        <v>21</v>
      </c>
      <c r="C4" s="4">
        <v>27</v>
      </c>
      <c r="D4" s="4" t="s">
        <v>10</v>
      </c>
      <c r="E4" s="12" t="s">
        <v>221</v>
      </c>
      <c r="F4" s="4" t="s">
        <v>23</v>
      </c>
      <c r="G4" s="4" t="s">
        <v>24</v>
      </c>
      <c r="H4" s="4" t="s">
        <v>25</v>
      </c>
      <c r="I4" s="4">
        <v>11116</v>
      </c>
    </row>
    <row r="5" spans="1:9" x14ac:dyDescent="0.25">
      <c r="A5" s="4">
        <v>4</v>
      </c>
      <c r="B5" s="4" t="s">
        <v>26</v>
      </c>
      <c r="C5" s="4">
        <v>33</v>
      </c>
      <c r="D5" s="4" t="s">
        <v>16</v>
      </c>
      <c r="E5" s="4" t="s">
        <v>27</v>
      </c>
      <c r="F5" s="4" t="s">
        <v>28</v>
      </c>
      <c r="G5" s="4" t="s">
        <v>29</v>
      </c>
      <c r="H5" s="4" t="s">
        <v>30</v>
      </c>
      <c r="I5" s="4">
        <v>33457</v>
      </c>
    </row>
    <row r="6" spans="1:9" x14ac:dyDescent="0.25">
      <c r="A6" s="4">
        <v>5</v>
      </c>
      <c r="B6" s="4"/>
      <c r="C6" s="4">
        <v>29</v>
      </c>
      <c r="D6" s="4" t="s">
        <v>16</v>
      </c>
      <c r="E6" s="4" t="s">
        <v>31</v>
      </c>
      <c r="F6" s="4" t="s">
        <v>32</v>
      </c>
      <c r="G6" s="4"/>
      <c r="H6" s="4"/>
      <c r="I6" s="4">
        <v>21918</v>
      </c>
    </row>
    <row r="7" spans="1:9" x14ac:dyDescent="0.25">
      <c r="A7" s="4">
        <v>6</v>
      </c>
      <c r="B7" s="4" t="s">
        <v>33</v>
      </c>
      <c r="C7" s="4">
        <v>34</v>
      </c>
      <c r="D7" s="4" t="s">
        <v>10</v>
      </c>
      <c r="E7" s="12" t="s">
        <v>66</v>
      </c>
      <c r="F7" s="4" t="s">
        <v>35</v>
      </c>
      <c r="G7" s="4"/>
      <c r="H7" s="4" t="s">
        <v>36</v>
      </c>
      <c r="I7" s="4">
        <v>33418</v>
      </c>
    </row>
    <row r="8" spans="1:9" x14ac:dyDescent="0.25">
      <c r="A8" s="4">
        <v>7</v>
      </c>
      <c r="B8" s="4" t="s">
        <v>37</v>
      </c>
      <c r="C8" s="4">
        <v>25</v>
      </c>
      <c r="D8" s="4" t="s">
        <v>16</v>
      </c>
      <c r="E8" s="12" t="s">
        <v>221</v>
      </c>
      <c r="F8" s="4"/>
      <c r="G8" s="4" t="s">
        <v>38</v>
      </c>
      <c r="H8" s="4" t="s">
        <v>39</v>
      </c>
      <c r="I8" s="4">
        <v>45828</v>
      </c>
    </row>
    <row r="9" spans="1:9" x14ac:dyDescent="0.25">
      <c r="A9" s="4">
        <v>8</v>
      </c>
      <c r="B9" s="4" t="s">
        <v>40</v>
      </c>
      <c r="C9" s="4">
        <v>31</v>
      </c>
      <c r="D9" s="4" t="s">
        <v>10</v>
      </c>
      <c r="E9" s="4" t="s">
        <v>27</v>
      </c>
      <c r="F9" s="4" t="s">
        <v>41</v>
      </c>
      <c r="G9" s="4">
        <f>91-8888888888</f>
        <v>-8888888797</v>
      </c>
      <c r="H9" s="4"/>
      <c r="I9" s="4">
        <v>45450</v>
      </c>
    </row>
    <row r="10" spans="1:9" x14ac:dyDescent="0.25">
      <c r="A10" s="4">
        <v>9</v>
      </c>
      <c r="B10" s="4" t="s">
        <v>42</v>
      </c>
      <c r="C10" s="4">
        <v>27</v>
      </c>
      <c r="D10" s="4" t="s">
        <v>16</v>
      </c>
      <c r="E10" s="4" t="s">
        <v>31</v>
      </c>
      <c r="F10" s="4" t="s">
        <v>43</v>
      </c>
      <c r="G10" s="4">
        <f>91-7777777777</f>
        <v>-7777777686</v>
      </c>
      <c r="H10" s="4" t="s">
        <v>44</v>
      </c>
      <c r="I10" s="4">
        <v>49938</v>
      </c>
    </row>
    <row r="11" spans="1:9" x14ac:dyDescent="0.25">
      <c r="A11" s="4">
        <v>10</v>
      </c>
      <c r="B11" s="4"/>
      <c r="C11" s="4">
        <v>35</v>
      </c>
      <c r="D11" s="4" t="s">
        <v>10</v>
      </c>
      <c r="E11" s="4" t="s">
        <v>11</v>
      </c>
      <c r="F11" s="4" t="s">
        <v>45</v>
      </c>
      <c r="G11" s="4"/>
      <c r="H11" s="4" t="s">
        <v>46</v>
      </c>
      <c r="I11" s="4">
        <v>9818</v>
      </c>
    </row>
    <row r="12" spans="1:9" x14ac:dyDescent="0.25">
      <c r="A12" s="4">
        <v>11</v>
      </c>
      <c r="B12" s="4" t="s">
        <v>47</v>
      </c>
      <c r="C12" s="4"/>
      <c r="D12" s="4" t="s">
        <v>16</v>
      </c>
      <c r="E12" s="4" t="s">
        <v>17</v>
      </c>
      <c r="F12" s="4" t="s">
        <v>48</v>
      </c>
      <c r="G12" s="4">
        <f>91-6666666666</f>
        <v>-6666666575</v>
      </c>
      <c r="H12" s="4" t="s">
        <v>49</v>
      </c>
      <c r="I12" s="4">
        <v>41836</v>
      </c>
    </row>
    <row r="13" spans="1:9" x14ac:dyDescent="0.25">
      <c r="A13" s="4">
        <v>12</v>
      </c>
      <c r="B13" s="4" t="s">
        <v>50</v>
      </c>
      <c r="C13" s="4">
        <v>29</v>
      </c>
      <c r="D13" s="4" t="s">
        <v>10</v>
      </c>
      <c r="E13" s="4" t="s">
        <v>17</v>
      </c>
      <c r="F13" s="4" t="s">
        <v>51</v>
      </c>
      <c r="G13" s="4">
        <f>91-5555555555</f>
        <v>-5555555464</v>
      </c>
      <c r="H13" s="4" t="s">
        <v>52</v>
      </c>
      <c r="I13" s="4">
        <v>11901</v>
      </c>
    </row>
    <row r="14" spans="1:9" x14ac:dyDescent="0.25">
      <c r="A14" s="4">
        <v>13</v>
      </c>
      <c r="B14" s="4"/>
      <c r="C14" s="4">
        <v>26</v>
      </c>
      <c r="D14" s="4" t="s">
        <v>10</v>
      </c>
      <c r="E14" s="4" t="s">
        <v>53</v>
      </c>
      <c r="F14" s="4"/>
      <c r="G14" s="4">
        <f>91-7777777777</f>
        <v>-7777777686</v>
      </c>
      <c r="H14" s="4" t="s">
        <v>54</v>
      </c>
      <c r="I14" s="4">
        <v>46236</v>
      </c>
    </row>
    <row r="15" spans="1:9" x14ac:dyDescent="0.25">
      <c r="A15" s="4">
        <v>14</v>
      </c>
      <c r="B15" s="4" t="s">
        <v>55</v>
      </c>
      <c r="C15" s="4">
        <v>28</v>
      </c>
      <c r="D15" s="4" t="s">
        <v>16</v>
      </c>
      <c r="E15" s="4" t="s">
        <v>56</v>
      </c>
      <c r="F15" s="4" t="s">
        <v>57</v>
      </c>
      <c r="G15" s="4"/>
      <c r="H15" s="4" t="s">
        <v>58</v>
      </c>
      <c r="I15" s="4">
        <v>21978</v>
      </c>
    </row>
    <row r="16" spans="1:9" x14ac:dyDescent="0.25">
      <c r="A16" s="4">
        <v>15</v>
      </c>
      <c r="B16" s="4"/>
      <c r="C16" s="4">
        <v>30</v>
      </c>
      <c r="D16" s="4" t="s">
        <v>16</v>
      </c>
      <c r="E16" s="4" t="s">
        <v>59</v>
      </c>
      <c r="F16" s="4" t="s">
        <v>60</v>
      </c>
      <c r="G16" s="4">
        <f>91-8888888888</f>
        <v>-8888888797</v>
      </c>
      <c r="H16" s="4"/>
      <c r="I16" s="4">
        <v>49400</v>
      </c>
    </row>
    <row r="17" spans="1:9" x14ac:dyDescent="0.25">
      <c r="A17" s="4">
        <v>16</v>
      </c>
      <c r="B17" s="4" t="s">
        <v>61</v>
      </c>
      <c r="C17" s="4">
        <v>32</v>
      </c>
      <c r="D17" s="4" t="s">
        <v>10</v>
      </c>
      <c r="E17" s="12" t="s">
        <v>222</v>
      </c>
      <c r="F17" s="4" t="s">
        <v>63</v>
      </c>
      <c r="G17" s="4">
        <f>91-1234567890</f>
        <v>-1234567799</v>
      </c>
      <c r="H17" s="4" t="s">
        <v>64</v>
      </c>
      <c r="I17" s="4">
        <v>28476</v>
      </c>
    </row>
    <row r="18" spans="1:9" x14ac:dyDescent="0.25">
      <c r="A18" s="4">
        <v>17</v>
      </c>
      <c r="B18" s="4" t="s">
        <v>65</v>
      </c>
      <c r="C18" s="4">
        <v>26</v>
      </c>
      <c r="D18" s="4" t="s">
        <v>16</v>
      </c>
      <c r="E18" s="4" t="s">
        <v>66</v>
      </c>
      <c r="F18" s="4" t="s">
        <v>67</v>
      </c>
      <c r="G18" s="4">
        <f>91-8765432109</f>
        <v>-8765432018</v>
      </c>
      <c r="H18" s="4"/>
      <c r="I18" s="4">
        <v>40088</v>
      </c>
    </row>
    <row r="19" spans="1:9" x14ac:dyDescent="0.25">
      <c r="A19" s="4">
        <v>18</v>
      </c>
      <c r="B19" s="4" t="s">
        <v>68</v>
      </c>
      <c r="C19" s="4">
        <v>28</v>
      </c>
      <c r="D19" s="4" t="s">
        <v>10</v>
      </c>
      <c r="E19" s="12" t="s">
        <v>66</v>
      </c>
      <c r="F19" s="4" t="s">
        <v>69</v>
      </c>
      <c r="G19" s="4">
        <f>91-9876543210</f>
        <v>-9876543119</v>
      </c>
      <c r="H19" s="4" t="s">
        <v>70</v>
      </c>
      <c r="I19" s="4">
        <v>2949</v>
      </c>
    </row>
    <row r="20" spans="1:9" x14ac:dyDescent="0.25">
      <c r="A20" s="4">
        <v>19</v>
      </c>
      <c r="B20" s="4" t="s">
        <v>71</v>
      </c>
      <c r="C20" s="4">
        <v>30</v>
      </c>
      <c r="D20" s="4" t="s">
        <v>16</v>
      </c>
      <c r="E20" s="12" t="s">
        <v>66</v>
      </c>
      <c r="F20" s="4" t="s">
        <v>72</v>
      </c>
      <c r="G20" s="4">
        <f>91-5555555555</f>
        <v>-5555555464</v>
      </c>
      <c r="H20" s="4" t="s">
        <v>73</v>
      </c>
      <c r="I20" s="4">
        <v>3337</v>
      </c>
    </row>
    <row r="21" spans="1:9" x14ac:dyDescent="0.25">
      <c r="A21" s="4">
        <v>20</v>
      </c>
      <c r="B21" s="4"/>
      <c r="C21" s="4">
        <v>32</v>
      </c>
      <c r="D21" s="4" t="s">
        <v>10</v>
      </c>
      <c r="E21" s="4" t="s">
        <v>59</v>
      </c>
      <c r="F21" s="4" t="s">
        <v>74</v>
      </c>
      <c r="G21" s="4">
        <f>91-9999999999</f>
        <v>-9999999908</v>
      </c>
      <c r="H21" s="4"/>
      <c r="I21" s="4">
        <v>2857</v>
      </c>
    </row>
    <row r="22" spans="1:9" x14ac:dyDescent="0.25">
      <c r="A22" s="4">
        <v>21</v>
      </c>
      <c r="B22" s="4" t="s">
        <v>75</v>
      </c>
      <c r="C22" s="4">
        <v>26</v>
      </c>
      <c r="D22" s="4" t="s">
        <v>16</v>
      </c>
      <c r="E22" s="12" t="s">
        <v>222</v>
      </c>
      <c r="F22" s="4" t="s">
        <v>76</v>
      </c>
      <c r="G22" s="4"/>
      <c r="H22" s="4" t="s">
        <v>77</v>
      </c>
      <c r="I22" s="4">
        <v>35969</v>
      </c>
    </row>
    <row r="23" spans="1:9" x14ac:dyDescent="0.25">
      <c r="A23" s="4">
        <v>22</v>
      </c>
      <c r="B23" s="4" t="s">
        <v>78</v>
      </c>
      <c r="C23" s="4">
        <v>33</v>
      </c>
      <c r="D23" s="4" t="s">
        <v>10</v>
      </c>
      <c r="E23" s="4" t="s">
        <v>66</v>
      </c>
      <c r="F23" s="4" t="s">
        <v>79</v>
      </c>
      <c r="G23" s="4">
        <f>91-8888888888</f>
        <v>-8888888797</v>
      </c>
      <c r="H23" s="4" t="s">
        <v>80</v>
      </c>
      <c r="I23" s="4">
        <v>49681</v>
      </c>
    </row>
    <row r="24" spans="1:9" x14ac:dyDescent="0.25">
      <c r="A24" s="4">
        <v>23</v>
      </c>
      <c r="B24" s="4"/>
      <c r="C24" s="4">
        <v>27</v>
      </c>
      <c r="D24" s="4" t="s">
        <v>16</v>
      </c>
      <c r="E24" s="12" t="s">
        <v>66</v>
      </c>
      <c r="F24" s="4"/>
      <c r="G24" s="4">
        <f>91-7777777777</f>
        <v>-7777777686</v>
      </c>
      <c r="H24" s="4" t="s">
        <v>81</v>
      </c>
      <c r="I24" s="4">
        <v>45102</v>
      </c>
    </row>
    <row r="25" spans="1:9" x14ac:dyDescent="0.25">
      <c r="A25" s="4">
        <v>24</v>
      </c>
      <c r="B25" s="4" t="s">
        <v>82</v>
      </c>
      <c r="C25" s="4">
        <v>29</v>
      </c>
      <c r="D25" s="4" t="s">
        <v>10</v>
      </c>
      <c r="E25" s="4" t="s">
        <v>11</v>
      </c>
      <c r="F25" s="4" t="s">
        <v>83</v>
      </c>
      <c r="G25" s="4" t="s">
        <v>84</v>
      </c>
      <c r="H25" s="4"/>
      <c r="I25" s="4">
        <v>15853</v>
      </c>
    </row>
    <row r="26" spans="1:9" x14ac:dyDescent="0.25">
      <c r="A26" s="4">
        <v>25</v>
      </c>
      <c r="B26" s="4" t="s">
        <v>85</v>
      </c>
      <c r="C26" s="4"/>
      <c r="D26" s="4" t="s">
        <v>16</v>
      </c>
      <c r="E26" s="4" t="s">
        <v>17</v>
      </c>
      <c r="F26" s="4" t="s">
        <v>86</v>
      </c>
      <c r="G26" s="4">
        <f>91-5555555555</f>
        <v>-5555555464</v>
      </c>
      <c r="H26" s="4" t="s">
        <v>87</v>
      </c>
      <c r="I26" s="4">
        <v>6926</v>
      </c>
    </row>
    <row r="27" spans="1:9" x14ac:dyDescent="0.25">
      <c r="A27" s="4">
        <v>26</v>
      </c>
      <c r="B27" s="4" t="s">
        <v>88</v>
      </c>
      <c r="C27" s="4">
        <v>31</v>
      </c>
      <c r="D27" s="4" t="s">
        <v>10</v>
      </c>
      <c r="E27" s="4" t="s">
        <v>59</v>
      </c>
      <c r="F27" s="4" t="s">
        <v>89</v>
      </c>
      <c r="G27" s="4"/>
      <c r="H27" s="4" t="s">
        <v>90</v>
      </c>
      <c r="I27" s="4">
        <v>45678</v>
      </c>
    </row>
    <row r="28" spans="1:9" x14ac:dyDescent="0.25">
      <c r="A28" s="4">
        <v>27</v>
      </c>
      <c r="B28" s="4" t="s">
        <v>91</v>
      </c>
      <c r="C28" s="4">
        <v>28</v>
      </c>
      <c r="D28" s="4" t="s">
        <v>16</v>
      </c>
      <c r="E28" s="12" t="s">
        <v>222</v>
      </c>
      <c r="F28" s="4" t="s">
        <v>92</v>
      </c>
      <c r="G28" s="4">
        <f>91-7777777777</f>
        <v>-7777777686</v>
      </c>
      <c r="H28" s="4" t="s">
        <v>93</v>
      </c>
      <c r="I28" s="4">
        <v>8022</v>
      </c>
    </row>
    <row r="29" spans="1:9" x14ac:dyDescent="0.25">
      <c r="A29" s="4">
        <v>28</v>
      </c>
      <c r="B29" s="4" t="s">
        <v>94</v>
      </c>
      <c r="C29" s="4">
        <v>34</v>
      </c>
      <c r="D29" s="4" t="s">
        <v>10</v>
      </c>
      <c r="E29" s="4" t="s">
        <v>66</v>
      </c>
      <c r="F29" s="4" t="s">
        <v>95</v>
      </c>
      <c r="G29" s="4">
        <f>91-8888888888</f>
        <v>-8888888797</v>
      </c>
      <c r="H29" s="4" t="s">
        <v>96</v>
      </c>
      <c r="I29" s="4">
        <v>3484</v>
      </c>
    </row>
    <row r="30" spans="1:9" x14ac:dyDescent="0.25">
      <c r="A30" s="4">
        <v>29</v>
      </c>
      <c r="B30" s="4" t="s">
        <v>97</v>
      </c>
      <c r="C30" s="4">
        <v>26</v>
      </c>
      <c r="D30" s="4" t="s">
        <v>16</v>
      </c>
      <c r="E30" s="12" t="s">
        <v>221</v>
      </c>
      <c r="F30" s="4" t="s">
        <v>98</v>
      </c>
      <c r="G30" s="4">
        <f>91-7777777777</f>
        <v>-7777777686</v>
      </c>
      <c r="H30" s="4" t="s">
        <v>99</v>
      </c>
      <c r="I30" s="4">
        <v>11342</v>
      </c>
    </row>
    <row r="31" spans="1:9" x14ac:dyDescent="0.25">
      <c r="A31" s="4">
        <v>30</v>
      </c>
      <c r="B31" s="4"/>
      <c r="C31" s="4">
        <v>29</v>
      </c>
      <c r="D31" s="4" t="s">
        <v>10</v>
      </c>
      <c r="E31" s="4" t="s">
        <v>27</v>
      </c>
      <c r="F31" s="4" t="s">
        <v>100</v>
      </c>
      <c r="G31" s="4"/>
      <c r="H31" s="4" t="s">
        <v>101</v>
      </c>
      <c r="I31" s="4">
        <v>40940</v>
      </c>
    </row>
    <row r="32" spans="1:9" x14ac:dyDescent="0.25">
      <c r="A32" s="4">
        <v>31</v>
      </c>
      <c r="B32" s="4" t="s">
        <v>42</v>
      </c>
      <c r="C32" s="4">
        <v>27</v>
      </c>
      <c r="D32" s="4" t="s">
        <v>16</v>
      </c>
      <c r="E32" s="4" t="s">
        <v>31</v>
      </c>
      <c r="F32" s="4" t="s">
        <v>102</v>
      </c>
      <c r="G32" s="4">
        <f>91-5555555555</f>
        <v>-5555555464</v>
      </c>
      <c r="H32" s="4"/>
      <c r="I32" s="4">
        <v>41841</v>
      </c>
    </row>
    <row r="33" spans="1:9" x14ac:dyDescent="0.25">
      <c r="A33" s="4">
        <v>32</v>
      </c>
      <c r="B33" s="4" t="s">
        <v>103</v>
      </c>
      <c r="C33" s="4">
        <v>32</v>
      </c>
      <c r="D33" s="4" t="s">
        <v>10</v>
      </c>
      <c r="E33" s="4" t="s">
        <v>59</v>
      </c>
      <c r="F33" s="4" t="s">
        <v>104</v>
      </c>
      <c r="G33" s="4"/>
      <c r="H33" s="4" t="s">
        <v>105</v>
      </c>
      <c r="I33" s="4">
        <v>39835</v>
      </c>
    </row>
    <row r="34" spans="1:9" x14ac:dyDescent="0.25">
      <c r="A34" s="4">
        <v>33</v>
      </c>
      <c r="B34" s="4"/>
      <c r="C34" s="4">
        <v>33</v>
      </c>
      <c r="D34" s="4" t="s">
        <v>16</v>
      </c>
      <c r="E34" s="12" t="s">
        <v>222</v>
      </c>
      <c r="F34" s="4" t="s">
        <v>106</v>
      </c>
      <c r="G34" s="4">
        <f>91-6666666666</f>
        <v>-6666666575</v>
      </c>
      <c r="H34" s="4" t="s">
        <v>107</v>
      </c>
      <c r="I34" s="4">
        <v>9577</v>
      </c>
    </row>
    <row r="35" spans="1:9" x14ac:dyDescent="0.25">
      <c r="A35" s="4">
        <v>34</v>
      </c>
      <c r="B35" s="4" t="s">
        <v>108</v>
      </c>
      <c r="C35" s="4">
        <v>30</v>
      </c>
      <c r="D35" s="4" t="s">
        <v>10</v>
      </c>
      <c r="E35" s="4" t="s">
        <v>66</v>
      </c>
      <c r="F35" s="4" t="s">
        <v>109</v>
      </c>
      <c r="G35" s="4"/>
      <c r="H35" s="4" t="s">
        <v>110</v>
      </c>
      <c r="I35" s="4">
        <v>29480</v>
      </c>
    </row>
    <row r="36" spans="1:9" x14ac:dyDescent="0.25">
      <c r="A36" s="4">
        <v>35</v>
      </c>
      <c r="B36" s="4" t="s">
        <v>111</v>
      </c>
      <c r="C36" s="4"/>
      <c r="D36" s="4" t="s">
        <v>16</v>
      </c>
      <c r="E36" s="12" t="s">
        <v>221</v>
      </c>
      <c r="F36" s="4" t="s">
        <v>112</v>
      </c>
      <c r="G36" s="4">
        <f>91-5555555555</f>
        <v>-5555555464</v>
      </c>
      <c r="H36" s="4" t="s">
        <v>113</v>
      </c>
      <c r="I36" s="4">
        <v>14254</v>
      </c>
    </row>
    <row r="37" spans="1:9" x14ac:dyDescent="0.25">
      <c r="A37" s="4">
        <v>36</v>
      </c>
      <c r="B37" s="4" t="s">
        <v>114</v>
      </c>
      <c r="C37" s="4">
        <v>29</v>
      </c>
      <c r="D37" s="4" t="s">
        <v>10</v>
      </c>
      <c r="E37" s="4" t="s">
        <v>27</v>
      </c>
      <c r="F37" s="4" t="s">
        <v>115</v>
      </c>
      <c r="G37" s="4">
        <f>91-7777777777</f>
        <v>-7777777686</v>
      </c>
      <c r="H37" s="4" t="s">
        <v>116</v>
      </c>
      <c r="I37" s="4">
        <v>37358</v>
      </c>
    </row>
    <row r="38" spans="1:9" x14ac:dyDescent="0.25">
      <c r="A38" s="4">
        <v>37</v>
      </c>
      <c r="B38" s="4"/>
      <c r="C38" s="4">
        <v>31</v>
      </c>
      <c r="D38" s="4" t="s">
        <v>16</v>
      </c>
      <c r="E38" s="4" t="s">
        <v>31</v>
      </c>
      <c r="F38" s="4" t="s">
        <v>117</v>
      </c>
      <c r="G38" s="4"/>
      <c r="H38" s="4" t="s">
        <v>118</v>
      </c>
      <c r="I38" s="4">
        <v>48367</v>
      </c>
    </row>
    <row r="39" spans="1:9" x14ac:dyDescent="0.25">
      <c r="A39" s="4">
        <v>38</v>
      </c>
      <c r="B39" s="4" t="s">
        <v>119</v>
      </c>
      <c r="C39" s="4">
        <v>28</v>
      </c>
      <c r="D39" s="4" t="s">
        <v>10</v>
      </c>
      <c r="E39" s="12" t="s">
        <v>223</v>
      </c>
      <c r="F39" s="4" t="s">
        <v>121</v>
      </c>
      <c r="G39" s="4">
        <f>91-8888888888</f>
        <v>-8888888797</v>
      </c>
      <c r="H39" s="4" t="s">
        <v>122</v>
      </c>
      <c r="I39" s="4">
        <v>37473</v>
      </c>
    </row>
    <row r="40" spans="1:9" x14ac:dyDescent="0.25">
      <c r="A40" s="4">
        <v>39</v>
      </c>
      <c r="B40" s="4" t="s">
        <v>123</v>
      </c>
      <c r="C40" s="4">
        <v>33</v>
      </c>
      <c r="D40" s="4" t="s">
        <v>16</v>
      </c>
      <c r="E40" s="4" t="s">
        <v>124</v>
      </c>
      <c r="F40" s="4" t="s">
        <v>125</v>
      </c>
      <c r="G40" s="4">
        <f>91-9999999999</f>
        <v>-9999999908</v>
      </c>
      <c r="H40" s="4" t="s">
        <v>126</v>
      </c>
      <c r="I40" s="4">
        <v>30628</v>
      </c>
    </row>
    <row r="41" spans="1:9" x14ac:dyDescent="0.25">
      <c r="A41" s="4">
        <v>40</v>
      </c>
      <c r="B41" s="4" t="s">
        <v>127</v>
      </c>
      <c r="C41" s="4">
        <v>30</v>
      </c>
      <c r="D41" s="4" t="s">
        <v>10</v>
      </c>
      <c r="E41" s="4" t="s">
        <v>128</v>
      </c>
      <c r="F41" s="4" t="s">
        <v>129</v>
      </c>
      <c r="G41" s="4"/>
      <c r="H41" s="4" t="s">
        <v>130</v>
      </c>
      <c r="I41" s="4">
        <v>22018</v>
      </c>
    </row>
    <row r="42" spans="1:9" x14ac:dyDescent="0.25">
      <c r="A42" s="4">
        <v>41</v>
      </c>
      <c r="B42" s="4" t="s">
        <v>131</v>
      </c>
      <c r="C42" s="4">
        <v>27</v>
      </c>
      <c r="D42" s="4" t="s">
        <v>16</v>
      </c>
      <c r="E42" s="12" t="s">
        <v>66</v>
      </c>
      <c r="F42" s="4" t="s">
        <v>132</v>
      </c>
      <c r="G42" s="4">
        <f>91-7777777777</f>
        <v>-7777777686</v>
      </c>
      <c r="H42" s="4" t="s">
        <v>133</v>
      </c>
      <c r="I42" s="4">
        <v>35747</v>
      </c>
    </row>
    <row r="43" spans="1:9" x14ac:dyDescent="0.25">
      <c r="A43" s="4">
        <v>42</v>
      </c>
      <c r="B43" s="4" t="s">
        <v>134</v>
      </c>
      <c r="C43" s="4">
        <v>29</v>
      </c>
      <c r="D43" s="4" t="s">
        <v>10</v>
      </c>
      <c r="E43" s="4" t="s">
        <v>31</v>
      </c>
      <c r="F43" s="4" t="s">
        <v>135</v>
      </c>
      <c r="G43" s="4"/>
      <c r="H43" s="4" t="s">
        <v>136</v>
      </c>
      <c r="I43" s="4">
        <v>32258</v>
      </c>
    </row>
    <row r="44" spans="1:9" x14ac:dyDescent="0.25">
      <c r="A44" s="4">
        <v>43</v>
      </c>
      <c r="B44" s="4" t="s">
        <v>137</v>
      </c>
      <c r="C44" s="4">
        <v>26</v>
      </c>
      <c r="D44" s="4" t="s">
        <v>16</v>
      </c>
      <c r="E44" s="4" t="s">
        <v>59</v>
      </c>
      <c r="F44" s="4" t="s">
        <v>138</v>
      </c>
      <c r="G44" s="4">
        <f>91-5555555555</f>
        <v>-5555555464</v>
      </c>
      <c r="H44" s="4" t="s">
        <v>139</v>
      </c>
      <c r="I44" s="4">
        <v>31047</v>
      </c>
    </row>
    <row r="45" spans="1:9" x14ac:dyDescent="0.25">
      <c r="A45" s="4">
        <v>44</v>
      </c>
      <c r="B45" s="4"/>
      <c r="C45" s="4">
        <v>28</v>
      </c>
      <c r="D45" s="4" t="s">
        <v>10</v>
      </c>
      <c r="E45" s="12" t="s">
        <v>222</v>
      </c>
      <c r="F45" s="4" t="s">
        <v>140</v>
      </c>
      <c r="G45" s="4"/>
      <c r="H45" s="4" t="s">
        <v>141</v>
      </c>
      <c r="I45" s="4">
        <v>31064</v>
      </c>
    </row>
    <row r="46" spans="1:9" x14ac:dyDescent="0.25">
      <c r="A46" s="4">
        <v>45</v>
      </c>
      <c r="B46" s="4" t="s">
        <v>142</v>
      </c>
      <c r="C46" s="4">
        <v>31</v>
      </c>
      <c r="D46" s="4" t="s">
        <v>10</v>
      </c>
      <c r="E46" s="4" t="s">
        <v>66</v>
      </c>
      <c r="F46" s="4" t="s">
        <v>143</v>
      </c>
      <c r="G46" s="4">
        <f>91-8888888888</f>
        <v>-8888888797</v>
      </c>
      <c r="H46" s="4"/>
      <c r="I46" s="4">
        <v>3108</v>
      </c>
    </row>
    <row r="47" spans="1:9" x14ac:dyDescent="0.25">
      <c r="A47" s="4">
        <v>46</v>
      </c>
      <c r="B47" s="4" t="s">
        <v>144</v>
      </c>
      <c r="C47" s="4">
        <v>27</v>
      </c>
      <c r="D47" s="4" t="s">
        <v>16</v>
      </c>
      <c r="E47" s="12" t="s">
        <v>223</v>
      </c>
      <c r="F47" s="4" t="s">
        <v>145</v>
      </c>
      <c r="G47" s="4">
        <f>91-7777777777</f>
        <v>-7777777686</v>
      </c>
      <c r="H47" s="4" t="s">
        <v>146</v>
      </c>
      <c r="I47" s="4">
        <v>20205</v>
      </c>
    </row>
    <row r="48" spans="1:9" x14ac:dyDescent="0.25">
      <c r="A48" s="4">
        <v>47</v>
      </c>
      <c r="B48" s="4"/>
      <c r="C48" s="4">
        <v>29</v>
      </c>
      <c r="D48" s="4" t="s">
        <v>10</v>
      </c>
      <c r="E48" s="4" t="s">
        <v>124</v>
      </c>
      <c r="F48" s="4" t="s">
        <v>147</v>
      </c>
      <c r="G48" s="4"/>
      <c r="H48" s="4" t="s">
        <v>148</v>
      </c>
      <c r="I48" s="4">
        <v>8746</v>
      </c>
    </row>
    <row r="49" spans="1:9" x14ac:dyDescent="0.25">
      <c r="A49" s="4">
        <v>48</v>
      </c>
      <c r="B49" s="4" t="s">
        <v>149</v>
      </c>
      <c r="C49" s="4">
        <v>32</v>
      </c>
      <c r="D49" s="4" t="s">
        <v>16</v>
      </c>
      <c r="E49" s="12" t="s">
        <v>221</v>
      </c>
      <c r="F49" s="4" t="s">
        <v>150</v>
      </c>
      <c r="G49" s="4">
        <f>91-6666666666</f>
        <v>-6666666575</v>
      </c>
      <c r="H49" s="4" t="s">
        <v>151</v>
      </c>
      <c r="I49" s="4">
        <v>15531</v>
      </c>
    </row>
    <row r="50" spans="1:9" x14ac:dyDescent="0.25">
      <c r="A50" s="4">
        <v>49</v>
      </c>
      <c r="B50" s="4" t="s">
        <v>152</v>
      </c>
      <c r="C50" s="4"/>
      <c r="D50" s="4" t="s">
        <v>10</v>
      </c>
      <c r="E50" s="4" t="s">
        <v>27</v>
      </c>
      <c r="F50" s="4" t="s">
        <v>153</v>
      </c>
      <c r="G50" s="4">
        <f>91-5555555555</f>
        <v>-5555555464</v>
      </c>
      <c r="H50" s="4" t="s">
        <v>154</v>
      </c>
      <c r="I50" s="4">
        <v>23055</v>
      </c>
    </row>
    <row r="51" spans="1:9" x14ac:dyDescent="0.25">
      <c r="A51" s="4">
        <v>50</v>
      </c>
      <c r="B51" s="4" t="s">
        <v>155</v>
      </c>
      <c r="C51" s="4">
        <v>30</v>
      </c>
      <c r="D51" s="4" t="s">
        <v>16</v>
      </c>
      <c r="E51" s="4" t="s">
        <v>31</v>
      </c>
      <c r="F51" s="4" t="s">
        <v>156</v>
      </c>
      <c r="G51" s="4"/>
      <c r="H51" s="4" t="s">
        <v>157</v>
      </c>
      <c r="I51" s="4">
        <v>18647</v>
      </c>
    </row>
  </sheetData>
  <conditionalFormatting sqref="E2:E51">
    <cfRule type="uniqueValues" dxfId="0" priority="1"/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1"/>
  <sheetViews>
    <sheetView workbookViewId="0">
      <selection activeCell="L5" sqref="L5"/>
    </sheetView>
  </sheetViews>
  <sheetFormatPr defaultRowHeight="15" x14ac:dyDescent="0.25"/>
  <cols>
    <col min="2" max="2" width="11.140625" customWidth="1"/>
    <col min="5" max="5" width="16.7109375" customWidth="1"/>
    <col min="6" max="6" width="30.140625" customWidth="1"/>
    <col min="7" max="7" width="22.28515625" customWidth="1"/>
    <col min="8" max="8" width="39.7109375" style="5" customWidth="1"/>
  </cols>
  <sheetData>
    <row r="1" spans="1:9" ht="16.5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25">
      <c r="A2" s="4">
        <v>1</v>
      </c>
      <c r="B2" s="4" t="s">
        <v>9</v>
      </c>
      <c r="C2" s="4">
        <v>32</v>
      </c>
      <c r="D2" s="4" t="s">
        <v>10</v>
      </c>
      <c r="E2" s="4" t="s">
        <v>11</v>
      </c>
      <c r="F2" s="4" t="s">
        <v>12</v>
      </c>
      <c r="G2" s="4" t="s">
        <v>13</v>
      </c>
      <c r="H2" s="4" t="s">
        <v>14</v>
      </c>
      <c r="I2" s="4">
        <v>4553</v>
      </c>
    </row>
    <row r="3" spans="1:9" x14ac:dyDescent="0.25">
      <c r="A3" s="4">
        <v>2</v>
      </c>
      <c r="B3" s="4" t="s">
        <v>15</v>
      </c>
      <c r="C3" s="4">
        <v>28</v>
      </c>
      <c r="D3" s="4" t="s">
        <v>16</v>
      </c>
      <c r="E3" s="4" t="s">
        <v>17</v>
      </c>
      <c r="F3" s="4" t="s">
        <v>18</v>
      </c>
      <c r="G3" s="4" t="s">
        <v>19</v>
      </c>
      <c r="H3" s="4" t="s">
        <v>20</v>
      </c>
      <c r="I3" s="4">
        <v>31169</v>
      </c>
    </row>
    <row r="4" spans="1:9" x14ac:dyDescent="0.25">
      <c r="A4" s="4">
        <v>3</v>
      </c>
      <c r="B4" s="4" t="s">
        <v>21</v>
      </c>
      <c r="C4" s="4">
        <v>27</v>
      </c>
      <c r="D4" s="4" t="s">
        <v>10</v>
      </c>
      <c r="E4" s="4" t="s">
        <v>22</v>
      </c>
      <c r="F4" s="4" t="s">
        <v>23</v>
      </c>
      <c r="G4" s="4" t="s">
        <v>24</v>
      </c>
      <c r="H4" s="4" t="s">
        <v>25</v>
      </c>
      <c r="I4" s="4">
        <v>11116</v>
      </c>
    </row>
    <row r="5" spans="1:9" x14ac:dyDescent="0.25">
      <c r="A5" s="4">
        <v>4</v>
      </c>
      <c r="B5" s="4" t="s">
        <v>26</v>
      </c>
      <c r="C5" s="4">
        <v>33</v>
      </c>
      <c r="D5" s="4" t="s">
        <v>16</v>
      </c>
      <c r="E5" s="4" t="s">
        <v>27</v>
      </c>
      <c r="F5" s="4" t="s">
        <v>28</v>
      </c>
      <c r="G5" s="4" t="s">
        <v>29</v>
      </c>
      <c r="H5" s="4" t="s">
        <v>30</v>
      </c>
      <c r="I5" s="4">
        <v>33457</v>
      </c>
    </row>
    <row r="6" spans="1:9" x14ac:dyDescent="0.25">
      <c r="A6" s="4">
        <v>5</v>
      </c>
      <c r="B6" s="4"/>
      <c r="C6" s="4">
        <v>29</v>
      </c>
      <c r="D6" s="4" t="s">
        <v>16</v>
      </c>
      <c r="E6" s="4" t="s">
        <v>31</v>
      </c>
      <c r="F6" s="4" t="s">
        <v>32</v>
      </c>
      <c r="G6" s="4"/>
      <c r="H6" s="14" t="s">
        <v>220</v>
      </c>
      <c r="I6" s="4">
        <v>21918</v>
      </c>
    </row>
    <row r="7" spans="1:9" x14ac:dyDescent="0.25">
      <c r="A7" s="4">
        <v>6</v>
      </c>
      <c r="B7" s="4" t="s">
        <v>33</v>
      </c>
      <c r="C7" s="4">
        <v>34</v>
      </c>
      <c r="D7" s="4" t="s">
        <v>10</v>
      </c>
      <c r="E7" s="4" t="s">
        <v>34</v>
      </c>
      <c r="F7" s="4" t="s">
        <v>35</v>
      </c>
      <c r="G7" s="4"/>
      <c r="H7" s="4" t="s">
        <v>36</v>
      </c>
      <c r="I7" s="4">
        <v>33418</v>
      </c>
    </row>
    <row r="8" spans="1:9" x14ac:dyDescent="0.25">
      <c r="A8" s="4">
        <v>7</v>
      </c>
      <c r="B8" s="4" t="s">
        <v>37</v>
      </c>
      <c r="C8" s="4">
        <v>25</v>
      </c>
      <c r="D8" s="4" t="s">
        <v>16</v>
      </c>
      <c r="E8" s="4" t="s">
        <v>22</v>
      </c>
      <c r="F8" s="4"/>
      <c r="G8" s="4" t="s">
        <v>38</v>
      </c>
      <c r="H8" s="4" t="s">
        <v>39</v>
      </c>
      <c r="I8" s="4">
        <v>45828</v>
      </c>
    </row>
    <row r="9" spans="1:9" x14ac:dyDescent="0.25">
      <c r="A9" s="4">
        <v>8</v>
      </c>
      <c r="B9" s="4" t="s">
        <v>40</v>
      </c>
      <c r="C9" s="4">
        <v>31</v>
      </c>
      <c r="D9" s="4" t="s">
        <v>10</v>
      </c>
      <c r="E9" s="4" t="s">
        <v>27</v>
      </c>
      <c r="F9" s="4" t="s">
        <v>41</v>
      </c>
      <c r="G9" s="4">
        <f>91-8888888888</f>
        <v>-8888888797</v>
      </c>
      <c r="H9" s="14" t="s">
        <v>220</v>
      </c>
      <c r="I9" s="4">
        <v>45450</v>
      </c>
    </row>
    <row r="10" spans="1:9" x14ac:dyDescent="0.25">
      <c r="A10" s="4">
        <v>9</v>
      </c>
      <c r="B10" s="4" t="s">
        <v>42</v>
      </c>
      <c r="C10" s="4">
        <v>27</v>
      </c>
      <c r="D10" s="4" t="s">
        <v>16</v>
      </c>
      <c r="E10" s="4" t="s">
        <v>31</v>
      </c>
      <c r="F10" s="4" t="s">
        <v>43</v>
      </c>
      <c r="G10" s="4">
        <f>91-7777777777</f>
        <v>-7777777686</v>
      </c>
      <c r="H10" s="4" t="s">
        <v>44</v>
      </c>
      <c r="I10" s="4">
        <v>49938</v>
      </c>
    </row>
    <row r="11" spans="1:9" x14ac:dyDescent="0.25">
      <c r="A11" s="4">
        <v>10</v>
      </c>
      <c r="B11" s="4"/>
      <c r="C11" s="4">
        <v>35</v>
      </c>
      <c r="D11" s="4" t="s">
        <v>10</v>
      </c>
      <c r="E11" s="4" t="s">
        <v>11</v>
      </c>
      <c r="F11" s="4" t="s">
        <v>45</v>
      </c>
      <c r="G11" s="4"/>
      <c r="H11" s="4" t="s">
        <v>46</v>
      </c>
      <c r="I11" s="4">
        <v>9818</v>
      </c>
    </row>
    <row r="12" spans="1:9" x14ac:dyDescent="0.25">
      <c r="A12" s="4">
        <v>11</v>
      </c>
      <c r="B12" s="4" t="s">
        <v>47</v>
      </c>
      <c r="C12" s="4"/>
      <c r="D12" s="4" t="s">
        <v>16</v>
      </c>
      <c r="E12" s="4" t="s">
        <v>17</v>
      </c>
      <c r="F12" s="4" t="s">
        <v>48</v>
      </c>
      <c r="G12" s="4">
        <f>91-6666666666</f>
        <v>-6666666575</v>
      </c>
      <c r="H12" s="4" t="s">
        <v>49</v>
      </c>
      <c r="I12" s="4">
        <v>41836</v>
      </c>
    </row>
    <row r="13" spans="1:9" x14ac:dyDescent="0.25">
      <c r="A13" s="4">
        <v>12</v>
      </c>
      <c r="B13" s="4" t="s">
        <v>50</v>
      </c>
      <c r="C13" s="4">
        <v>29</v>
      </c>
      <c r="D13" s="4" t="s">
        <v>10</v>
      </c>
      <c r="E13" s="4" t="s">
        <v>17</v>
      </c>
      <c r="F13" s="4" t="s">
        <v>51</v>
      </c>
      <c r="G13" s="4">
        <f>91-5555555555</f>
        <v>-5555555464</v>
      </c>
      <c r="H13" s="4" t="s">
        <v>52</v>
      </c>
      <c r="I13" s="4">
        <v>11901</v>
      </c>
    </row>
    <row r="14" spans="1:9" x14ac:dyDescent="0.25">
      <c r="A14" s="4">
        <v>13</v>
      </c>
      <c r="B14" s="4"/>
      <c r="C14" s="4">
        <v>26</v>
      </c>
      <c r="D14" s="4" t="s">
        <v>10</v>
      </c>
      <c r="E14" s="4" t="s">
        <v>53</v>
      </c>
      <c r="F14" s="4"/>
      <c r="G14" s="4">
        <f>91-7777777777</f>
        <v>-7777777686</v>
      </c>
      <c r="H14" s="4" t="s">
        <v>54</v>
      </c>
      <c r="I14" s="4">
        <v>46236</v>
      </c>
    </row>
    <row r="15" spans="1:9" x14ac:dyDescent="0.25">
      <c r="A15" s="4">
        <v>14</v>
      </c>
      <c r="B15" s="4" t="s">
        <v>55</v>
      </c>
      <c r="C15" s="4">
        <v>28</v>
      </c>
      <c r="D15" s="4" t="s">
        <v>16</v>
      </c>
      <c r="E15" s="4" t="s">
        <v>56</v>
      </c>
      <c r="F15" s="4" t="s">
        <v>57</v>
      </c>
      <c r="G15" s="4"/>
      <c r="H15" s="4" t="s">
        <v>58</v>
      </c>
      <c r="I15" s="4">
        <v>21978</v>
      </c>
    </row>
    <row r="16" spans="1:9" x14ac:dyDescent="0.25">
      <c r="A16" s="4">
        <v>15</v>
      </c>
      <c r="B16" s="4"/>
      <c r="C16" s="4">
        <v>30</v>
      </c>
      <c r="D16" s="4" t="s">
        <v>16</v>
      </c>
      <c r="E16" s="4" t="s">
        <v>59</v>
      </c>
      <c r="F16" s="4" t="s">
        <v>60</v>
      </c>
      <c r="G16" s="4">
        <f>91-8888888888</f>
        <v>-8888888797</v>
      </c>
      <c r="H16" s="14" t="s">
        <v>220</v>
      </c>
      <c r="I16" s="4">
        <v>49400</v>
      </c>
    </row>
    <row r="17" spans="1:9" x14ac:dyDescent="0.25">
      <c r="A17" s="4">
        <v>16</v>
      </c>
      <c r="B17" s="4" t="s">
        <v>61</v>
      </c>
      <c r="C17" s="4">
        <v>32</v>
      </c>
      <c r="D17" s="4" t="s">
        <v>10</v>
      </c>
      <c r="E17" s="4" t="s">
        <v>62</v>
      </c>
      <c r="F17" s="4" t="s">
        <v>63</v>
      </c>
      <c r="G17" s="4">
        <f>91-1234567890</f>
        <v>-1234567799</v>
      </c>
      <c r="H17" s="4" t="s">
        <v>64</v>
      </c>
      <c r="I17" s="4">
        <v>28476</v>
      </c>
    </row>
    <row r="18" spans="1:9" x14ac:dyDescent="0.25">
      <c r="A18" s="4">
        <v>17</v>
      </c>
      <c r="B18" s="4" t="s">
        <v>65</v>
      </c>
      <c r="C18" s="4">
        <v>26</v>
      </c>
      <c r="D18" s="4" t="s">
        <v>16</v>
      </c>
      <c r="E18" s="4" t="s">
        <v>66</v>
      </c>
      <c r="F18" s="4" t="s">
        <v>67</v>
      </c>
      <c r="G18" s="4">
        <f>91-8765432109</f>
        <v>-8765432018</v>
      </c>
      <c r="H18" s="14" t="s">
        <v>220</v>
      </c>
      <c r="I18" s="4">
        <v>40088</v>
      </c>
    </row>
    <row r="19" spans="1:9" x14ac:dyDescent="0.25">
      <c r="A19" s="4">
        <v>18</v>
      </c>
      <c r="B19" s="4" t="s">
        <v>68</v>
      </c>
      <c r="C19" s="4">
        <v>28</v>
      </c>
      <c r="D19" s="4" t="s">
        <v>10</v>
      </c>
      <c r="E19" s="4" t="s">
        <v>34</v>
      </c>
      <c r="F19" s="4" t="s">
        <v>69</v>
      </c>
      <c r="G19" s="4">
        <f>91-9876543210</f>
        <v>-9876543119</v>
      </c>
      <c r="H19" s="4" t="s">
        <v>70</v>
      </c>
      <c r="I19" s="4">
        <v>2949</v>
      </c>
    </row>
    <row r="20" spans="1:9" x14ac:dyDescent="0.25">
      <c r="A20" s="4">
        <v>19</v>
      </c>
      <c r="B20" s="4" t="s">
        <v>71</v>
      </c>
      <c r="C20" s="4">
        <v>30</v>
      </c>
      <c r="D20" s="4" t="s">
        <v>16</v>
      </c>
      <c r="E20" s="4" t="s">
        <v>34</v>
      </c>
      <c r="F20" s="4" t="s">
        <v>72</v>
      </c>
      <c r="G20" s="4">
        <f>91-5555555555</f>
        <v>-5555555464</v>
      </c>
      <c r="H20" s="4" t="s">
        <v>73</v>
      </c>
      <c r="I20" s="4">
        <v>3337</v>
      </c>
    </row>
    <row r="21" spans="1:9" x14ac:dyDescent="0.25">
      <c r="A21" s="4">
        <v>20</v>
      </c>
      <c r="B21" s="4"/>
      <c r="C21" s="4">
        <v>32</v>
      </c>
      <c r="D21" s="4" t="s">
        <v>10</v>
      </c>
      <c r="E21" s="4" t="s">
        <v>59</v>
      </c>
      <c r="F21" s="4" t="s">
        <v>74</v>
      </c>
      <c r="G21" s="4">
        <f>91-9999999999</f>
        <v>-9999999908</v>
      </c>
      <c r="H21" s="14" t="s">
        <v>220</v>
      </c>
      <c r="I21" s="4">
        <v>2857</v>
      </c>
    </row>
    <row r="22" spans="1:9" x14ac:dyDescent="0.25">
      <c r="A22" s="4">
        <v>21</v>
      </c>
      <c r="B22" s="4" t="s">
        <v>75</v>
      </c>
      <c r="C22" s="4">
        <v>26</v>
      </c>
      <c r="D22" s="4" t="s">
        <v>16</v>
      </c>
      <c r="E22" s="4" t="s">
        <v>62</v>
      </c>
      <c r="F22" s="4" t="s">
        <v>76</v>
      </c>
      <c r="G22" s="4"/>
      <c r="H22" s="4" t="s">
        <v>77</v>
      </c>
      <c r="I22" s="4">
        <v>35969</v>
      </c>
    </row>
    <row r="23" spans="1:9" x14ac:dyDescent="0.25">
      <c r="A23" s="4">
        <v>22</v>
      </c>
      <c r="B23" s="4" t="s">
        <v>78</v>
      </c>
      <c r="C23" s="4">
        <v>33</v>
      </c>
      <c r="D23" s="4" t="s">
        <v>10</v>
      </c>
      <c r="E23" s="4" t="s">
        <v>66</v>
      </c>
      <c r="F23" s="4" t="s">
        <v>79</v>
      </c>
      <c r="G23" s="4">
        <f>91-8888888888</f>
        <v>-8888888797</v>
      </c>
      <c r="H23" s="4" t="s">
        <v>80</v>
      </c>
      <c r="I23" s="4">
        <v>49681</v>
      </c>
    </row>
    <row r="24" spans="1:9" x14ac:dyDescent="0.25">
      <c r="A24" s="4">
        <v>23</v>
      </c>
      <c r="B24" s="4"/>
      <c r="C24" s="4">
        <v>27</v>
      </c>
      <c r="D24" s="4" t="s">
        <v>16</v>
      </c>
      <c r="E24" s="4" t="s">
        <v>34</v>
      </c>
      <c r="F24" s="4"/>
      <c r="G24" s="4">
        <f>91-7777777777</f>
        <v>-7777777686</v>
      </c>
      <c r="H24" s="4" t="s">
        <v>81</v>
      </c>
      <c r="I24" s="4">
        <v>45102</v>
      </c>
    </row>
    <row r="25" spans="1:9" x14ac:dyDescent="0.25">
      <c r="A25" s="4">
        <v>24</v>
      </c>
      <c r="B25" s="4" t="s">
        <v>82</v>
      </c>
      <c r="C25" s="4">
        <v>29</v>
      </c>
      <c r="D25" s="4" t="s">
        <v>10</v>
      </c>
      <c r="E25" s="4" t="s">
        <v>11</v>
      </c>
      <c r="F25" s="4" t="s">
        <v>83</v>
      </c>
      <c r="G25" s="4" t="s">
        <v>84</v>
      </c>
      <c r="H25" s="14" t="s">
        <v>220</v>
      </c>
      <c r="I25" s="4">
        <v>15853</v>
      </c>
    </row>
    <row r="26" spans="1:9" x14ac:dyDescent="0.25">
      <c r="A26" s="4">
        <v>25</v>
      </c>
      <c r="B26" s="4" t="s">
        <v>85</v>
      </c>
      <c r="C26" s="4"/>
      <c r="D26" s="4" t="s">
        <v>16</v>
      </c>
      <c r="E26" s="4" t="s">
        <v>17</v>
      </c>
      <c r="F26" s="4" t="s">
        <v>86</v>
      </c>
      <c r="G26" s="4">
        <f>91-5555555555</f>
        <v>-5555555464</v>
      </c>
      <c r="H26" s="4" t="s">
        <v>87</v>
      </c>
      <c r="I26" s="4">
        <v>6926</v>
      </c>
    </row>
    <row r="27" spans="1:9" x14ac:dyDescent="0.25">
      <c r="A27" s="4">
        <v>26</v>
      </c>
      <c r="B27" s="4" t="s">
        <v>88</v>
      </c>
      <c r="C27" s="4">
        <v>31</v>
      </c>
      <c r="D27" s="4" t="s">
        <v>10</v>
      </c>
      <c r="E27" s="4" t="s">
        <v>59</v>
      </c>
      <c r="F27" s="4" t="s">
        <v>89</v>
      </c>
      <c r="G27" s="4"/>
      <c r="H27" s="4" t="s">
        <v>90</v>
      </c>
      <c r="I27" s="4">
        <v>45678</v>
      </c>
    </row>
    <row r="28" spans="1:9" x14ac:dyDescent="0.25">
      <c r="A28" s="4">
        <v>27</v>
      </c>
      <c r="B28" s="4" t="s">
        <v>91</v>
      </c>
      <c r="C28" s="4">
        <v>28</v>
      </c>
      <c r="D28" s="4" t="s">
        <v>16</v>
      </c>
      <c r="E28" s="4" t="s">
        <v>62</v>
      </c>
      <c r="F28" s="4" t="s">
        <v>92</v>
      </c>
      <c r="G28" s="4">
        <f>91-7777777777</f>
        <v>-7777777686</v>
      </c>
      <c r="H28" s="4" t="s">
        <v>93</v>
      </c>
      <c r="I28" s="4">
        <v>8022</v>
      </c>
    </row>
    <row r="29" spans="1:9" x14ac:dyDescent="0.25">
      <c r="A29" s="4">
        <v>28</v>
      </c>
      <c r="B29" s="4" t="s">
        <v>94</v>
      </c>
      <c r="C29" s="4">
        <v>34</v>
      </c>
      <c r="D29" s="4" t="s">
        <v>10</v>
      </c>
      <c r="E29" s="4" t="s">
        <v>66</v>
      </c>
      <c r="F29" s="4" t="s">
        <v>95</v>
      </c>
      <c r="G29" s="4">
        <f>91-8888888888</f>
        <v>-8888888797</v>
      </c>
      <c r="H29" s="4" t="s">
        <v>96</v>
      </c>
      <c r="I29" s="4">
        <v>3484</v>
      </c>
    </row>
    <row r="30" spans="1:9" x14ac:dyDescent="0.25">
      <c r="A30" s="4">
        <v>29</v>
      </c>
      <c r="B30" s="4" t="s">
        <v>97</v>
      </c>
      <c r="C30" s="4">
        <v>26</v>
      </c>
      <c r="D30" s="4" t="s">
        <v>16</v>
      </c>
      <c r="E30" s="4" t="s">
        <v>22</v>
      </c>
      <c r="F30" s="4" t="s">
        <v>98</v>
      </c>
      <c r="G30" s="4">
        <f>91-7777777777</f>
        <v>-7777777686</v>
      </c>
      <c r="H30" s="4" t="s">
        <v>99</v>
      </c>
      <c r="I30" s="4">
        <v>11342</v>
      </c>
    </row>
    <row r="31" spans="1:9" x14ac:dyDescent="0.25">
      <c r="A31" s="4">
        <v>30</v>
      </c>
      <c r="B31" s="4"/>
      <c r="C31" s="4">
        <v>29</v>
      </c>
      <c r="D31" s="4" t="s">
        <v>10</v>
      </c>
      <c r="E31" s="4" t="s">
        <v>27</v>
      </c>
      <c r="F31" s="4" t="s">
        <v>100</v>
      </c>
      <c r="G31" s="4"/>
      <c r="H31" s="4" t="s">
        <v>101</v>
      </c>
      <c r="I31" s="4">
        <v>40940</v>
      </c>
    </row>
    <row r="32" spans="1:9" x14ac:dyDescent="0.25">
      <c r="A32" s="4">
        <v>31</v>
      </c>
      <c r="B32" s="4" t="s">
        <v>42</v>
      </c>
      <c r="C32" s="4">
        <v>27</v>
      </c>
      <c r="D32" s="4" t="s">
        <v>16</v>
      </c>
      <c r="E32" s="4" t="s">
        <v>31</v>
      </c>
      <c r="F32" s="4" t="s">
        <v>102</v>
      </c>
      <c r="G32" s="4">
        <f>91-5555555555</f>
        <v>-5555555464</v>
      </c>
      <c r="H32" s="14" t="s">
        <v>220</v>
      </c>
      <c r="I32" s="4">
        <v>41841</v>
      </c>
    </row>
    <row r="33" spans="1:9" x14ac:dyDescent="0.25">
      <c r="A33" s="4">
        <v>32</v>
      </c>
      <c r="B33" s="4" t="s">
        <v>103</v>
      </c>
      <c r="C33" s="4">
        <v>32</v>
      </c>
      <c r="D33" s="4" t="s">
        <v>10</v>
      </c>
      <c r="E33" s="4" t="s">
        <v>59</v>
      </c>
      <c r="F33" s="4" t="s">
        <v>104</v>
      </c>
      <c r="G33" s="4"/>
      <c r="H33" s="4" t="s">
        <v>105</v>
      </c>
      <c r="I33" s="4">
        <v>39835</v>
      </c>
    </row>
    <row r="34" spans="1:9" x14ac:dyDescent="0.25">
      <c r="A34" s="4">
        <v>33</v>
      </c>
      <c r="B34" s="4"/>
      <c r="C34" s="4">
        <v>33</v>
      </c>
      <c r="D34" s="4" t="s">
        <v>16</v>
      </c>
      <c r="E34" s="4" t="s">
        <v>62</v>
      </c>
      <c r="F34" s="4" t="s">
        <v>106</v>
      </c>
      <c r="G34" s="4">
        <f>91-6666666666</f>
        <v>-6666666575</v>
      </c>
      <c r="H34" s="4" t="s">
        <v>107</v>
      </c>
      <c r="I34" s="4">
        <v>9577</v>
      </c>
    </row>
    <row r="35" spans="1:9" x14ac:dyDescent="0.25">
      <c r="A35" s="4">
        <v>34</v>
      </c>
      <c r="B35" s="4" t="s">
        <v>108</v>
      </c>
      <c r="C35" s="4">
        <v>30</v>
      </c>
      <c r="D35" s="4" t="s">
        <v>10</v>
      </c>
      <c r="E35" s="4" t="s">
        <v>66</v>
      </c>
      <c r="F35" s="4" t="s">
        <v>109</v>
      </c>
      <c r="G35" s="4"/>
      <c r="H35" s="4" t="s">
        <v>110</v>
      </c>
      <c r="I35" s="4">
        <v>29480</v>
      </c>
    </row>
    <row r="36" spans="1:9" x14ac:dyDescent="0.25">
      <c r="A36" s="4">
        <v>35</v>
      </c>
      <c r="B36" s="4" t="s">
        <v>111</v>
      </c>
      <c r="C36" s="4"/>
      <c r="D36" s="4" t="s">
        <v>16</v>
      </c>
      <c r="E36" s="4" t="s">
        <v>22</v>
      </c>
      <c r="F36" s="4" t="s">
        <v>112</v>
      </c>
      <c r="G36" s="4">
        <f>91-5555555555</f>
        <v>-5555555464</v>
      </c>
      <c r="H36" s="4" t="s">
        <v>113</v>
      </c>
      <c r="I36" s="4">
        <v>14254</v>
      </c>
    </row>
    <row r="37" spans="1:9" x14ac:dyDescent="0.25">
      <c r="A37" s="4">
        <v>36</v>
      </c>
      <c r="B37" s="4" t="s">
        <v>114</v>
      </c>
      <c r="C37" s="4">
        <v>29</v>
      </c>
      <c r="D37" s="4" t="s">
        <v>10</v>
      </c>
      <c r="E37" s="4" t="s">
        <v>27</v>
      </c>
      <c r="F37" s="4" t="s">
        <v>115</v>
      </c>
      <c r="G37" s="4">
        <f>91-7777777777</f>
        <v>-7777777686</v>
      </c>
      <c r="H37" s="4" t="s">
        <v>116</v>
      </c>
      <c r="I37" s="4">
        <v>37358</v>
      </c>
    </row>
    <row r="38" spans="1:9" x14ac:dyDescent="0.25">
      <c r="A38" s="4">
        <v>37</v>
      </c>
      <c r="B38" s="4"/>
      <c r="C38" s="4">
        <v>31</v>
      </c>
      <c r="D38" s="4" t="s">
        <v>16</v>
      </c>
      <c r="E38" s="4" t="s">
        <v>31</v>
      </c>
      <c r="F38" s="4" t="s">
        <v>117</v>
      </c>
      <c r="G38" s="4"/>
      <c r="H38" s="4" t="s">
        <v>118</v>
      </c>
      <c r="I38" s="4">
        <v>48367</v>
      </c>
    </row>
    <row r="39" spans="1:9" x14ac:dyDescent="0.25">
      <c r="A39" s="4">
        <v>38</v>
      </c>
      <c r="B39" s="4" t="s">
        <v>119</v>
      </c>
      <c r="C39" s="4">
        <v>28</v>
      </c>
      <c r="D39" s="4" t="s">
        <v>10</v>
      </c>
      <c r="E39" s="4" t="s">
        <v>120</v>
      </c>
      <c r="F39" s="4" t="s">
        <v>121</v>
      </c>
      <c r="G39" s="4">
        <f>91-8888888888</f>
        <v>-8888888797</v>
      </c>
      <c r="H39" s="4" t="s">
        <v>122</v>
      </c>
      <c r="I39" s="4">
        <v>37473</v>
      </c>
    </row>
    <row r="40" spans="1:9" x14ac:dyDescent="0.25">
      <c r="A40" s="4">
        <v>39</v>
      </c>
      <c r="B40" s="4" t="s">
        <v>123</v>
      </c>
      <c r="C40" s="4">
        <v>33</v>
      </c>
      <c r="D40" s="4" t="s">
        <v>16</v>
      </c>
      <c r="E40" s="4" t="s">
        <v>124</v>
      </c>
      <c r="F40" s="4" t="s">
        <v>125</v>
      </c>
      <c r="G40" s="4">
        <f>91-9999999999</f>
        <v>-9999999908</v>
      </c>
      <c r="H40" s="4" t="s">
        <v>126</v>
      </c>
      <c r="I40" s="4">
        <v>30628</v>
      </c>
    </row>
    <row r="41" spans="1:9" x14ac:dyDescent="0.25">
      <c r="A41" s="4">
        <v>40</v>
      </c>
      <c r="B41" s="4" t="s">
        <v>127</v>
      </c>
      <c r="C41" s="4">
        <v>30</v>
      </c>
      <c r="D41" s="4" t="s">
        <v>10</v>
      </c>
      <c r="E41" s="4" t="s">
        <v>128</v>
      </c>
      <c r="F41" s="4" t="s">
        <v>129</v>
      </c>
      <c r="G41" s="4"/>
      <c r="H41" s="4" t="s">
        <v>130</v>
      </c>
      <c r="I41" s="4">
        <v>22018</v>
      </c>
    </row>
    <row r="42" spans="1:9" x14ac:dyDescent="0.25">
      <c r="A42" s="4">
        <v>41</v>
      </c>
      <c r="B42" s="4" t="s">
        <v>131</v>
      </c>
      <c r="C42" s="4">
        <v>27</v>
      </c>
      <c r="D42" s="4" t="s">
        <v>16</v>
      </c>
      <c r="E42" s="4" t="s">
        <v>34</v>
      </c>
      <c r="F42" s="4" t="s">
        <v>132</v>
      </c>
      <c r="G42" s="4">
        <f>91-7777777777</f>
        <v>-7777777686</v>
      </c>
      <c r="H42" s="4" t="s">
        <v>133</v>
      </c>
      <c r="I42" s="4">
        <v>35747</v>
      </c>
    </row>
    <row r="43" spans="1:9" x14ac:dyDescent="0.25">
      <c r="A43" s="4">
        <v>42</v>
      </c>
      <c r="B43" s="4" t="s">
        <v>134</v>
      </c>
      <c r="C43" s="4">
        <v>29</v>
      </c>
      <c r="D43" s="4" t="s">
        <v>10</v>
      </c>
      <c r="E43" s="4" t="s">
        <v>31</v>
      </c>
      <c r="F43" s="4" t="s">
        <v>135</v>
      </c>
      <c r="G43" s="4"/>
      <c r="H43" s="4" t="s">
        <v>136</v>
      </c>
      <c r="I43" s="4">
        <v>32258</v>
      </c>
    </row>
    <row r="44" spans="1:9" x14ac:dyDescent="0.25">
      <c r="A44" s="4">
        <v>43</v>
      </c>
      <c r="B44" s="4" t="s">
        <v>137</v>
      </c>
      <c r="C44" s="4">
        <v>26</v>
      </c>
      <c r="D44" s="4" t="s">
        <v>16</v>
      </c>
      <c r="E44" s="4" t="s">
        <v>59</v>
      </c>
      <c r="F44" s="4" t="s">
        <v>138</v>
      </c>
      <c r="G44" s="4">
        <f>91-5555555555</f>
        <v>-5555555464</v>
      </c>
      <c r="H44" s="4" t="s">
        <v>139</v>
      </c>
      <c r="I44" s="4">
        <v>31047</v>
      </c>
    </row>
    <row r="45" spans="1:9" x14ac:dyDescent="0.25">
      <c r="A45" s="4">
        <v>44</v>
      </c>
      <c r="B45" s="4"/>
      <c r="C45" s="4">
        <v>28</v>
      </c>
      <c r="D45" s="4" t="s">
        <v>10</v>
      </c>
      <c r="E45" s="4" t="s">
        <v>62</v>
      </c>
      <c r="F45" s="4" t="s">
        <v>140</v>
      </c>
      <c r="G45" s="4"/>
      <c r="H45" s="4" t="s">
        <v>141</v>
      </c>
      <c r="I45" s="4">
        <v>31064</v>
      </c>
    </row>
    <row r="46" spans="1:9" x14ac:dyDescent="0.25">
      <c r="A46" s="4">
        <v>45</v>
      </c>
      <c r="B46" s="4" t="s">
        <v>142</v>
      </c>
      <c r="C46" s="4">
        <v>31</v>
      </c>
      <c r="D46" s="4" t="s">
        <v>10</v>
      </c>
      <c r="E46" s="4" t="s">
        <v>66</v>
      </c>
      <c r="F46" s="4" t="s">
        <v>143</v>
      </c>
      <c r="G46" s="4">
        <f>91-8888888888</f>
        <v>-8888888797</v>
      </c>
      <c r="H46" s="14" t="s">
        <v>220</v>
      </c>
      <c r="I46" s="4">
        <v>3108</v>
      </c>
    </row>
    <row r="47" spans="1:9" x14ac:dyDescent="0.25">
      <c r="A47" s="4">
        <v>46</v>
      </c>
      <c r="B47" s="4" t="s">
        <v>144</v>
      </c>
      <c r="C47" s="4">
        <v>27</v>
      </c>
      <c r="D47" s="4" t="s">
        <v>16</v>
      </c>
      <c r="E47" s="4" t="s">
        <v>120</v>
      </c>
      <c r="F47" s="4" t="s">
        <v>145</v>
      </c>
      <c r="G47" s="4">
        <f>91-7777777777</f>
        <v>-7777777686</v>
      </c>
      <c r="H47" s="4" t="s">
        <v>146</v>
      </c>
      <c r="I47" s="4">
        <v>20205</v>
      </c>
    </row>
    <row r="48" spans="1:9" x14ac:dyDescent="0.25">
      <c r="A48" s="4">
        <v>47</v>
      </c>
      <c r="B48" s="4"/>
      <c r="C48" s="4">
        <v>29</v>
      </c>
      <c r="D48" s="4" t="s">
        <v>10</v>
      </c>
      <c r="E48" s="4" t="s">
        <v>124</v>
      </c>
      <c r="F48" s="4" t="s">
        <v>147</v>
      </c>
      <c r="G48" s="4"/>
      <c r="H48" s="4" t="s">
        <v>148</v>
      </c>
      <c r="I48" s="4">
        <v>8746</v>
      </c>
    </row>
    <row r="49" spans="1:9" x14ac:dyDescent="0.25">
      <c r="A49" s="4">
        <v>48</v>
      </c>
      <c r="B49" s="4" t="s">
        <v>149</v>
      </c>
      <c r="C49" s="4">
        <v>32</v>
      </c>
      <c r="D49" s="4" t="s">
        <v>16</v>
      </c>
      <c r="E49" s="4" t="s">
        <v>22</v>
      </c>
      <c r="F49" s="4" t="s">
        <v>150</v>
      </c>
      <c r="G49" s="4">
        <f>91-6666666666</f>
        <v>-6666666575</v>
      </c>
      <c r="H49" s="4" t="s">
        <v>151</v>
      </c>
      <c r="I49" s="4">
        <v>15531</v>
      </c>
    </row>
    <row r="50" spans="1:9" x14ac:dyDescent="0.25">
      <c r="A50" s="4">
        <v>49</v>
      </c>
      <c r="B50" s="4" t="s">
        <v>152</v>
      </c>
      <c r="C50" s="4"/>
      <c r="D50" s="4" t="s">
        <v>10</v>
      </c>
      <c r="E50" s="4" t="s">
        <v>27</v>
      </c>
      <c r="F50" s="4" t="s">
        <v>153</v>
      </c>
      <c r="G50" s="4">
        <f>91-5555555555</f>
        <v>-5555555464</v>
      </c>
      <c r="H50" s="4" t="s">
        <v>154</v>
      </c>
      <c r="I50" s="4">
        <v>23055</v>
      </c>
    </row>
    <row r="51" spans="1:9" x14ac:dyDescent="0.25">
      <c r="A51" s="4">
        <v>50</v>
      </c>
      <c r="B51" s="4" t="s">
        <v>155</v>
      </c>
      <c r="C51" s="4">
        <v>30</v>
      </c>
      <c r="D51" s="4" t="s">
        <v>16</v>
      </c>
      <c r="E51" s="4" t="s">
        <v>31</v>
      </c>
      <c r="F51" s="4" t="s">
        <v>156</v>
      </c>
      <c r="G51" s="4"/>
      <c r="H51" s="4" t="s">
        <v>157</v>
      </c>
      <c r="I51" s="4">
        <v>18647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Unmessenger</vt:lpstr>
      <vt:lpstr>filling name</vt:lpstr>
      <vt:lpstr>missing age</vt:lpstr>
      <vt:lpstr>formate phone</vt:lpstr>
      <vt:lpstr>deleted row</vt:lpstr>
      <vt:lpstr>top 10</vt:lpstr>
      <vt:lpstr>Email fill</vt:lpstr>
      <vt:lpstr>wrong spell</vt:lpstr>
      <vt:lpstr>Address not available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HP</cp:lastModifiedBy>
  <dcterms:created xsi:type="dcterms:W3CDTF">2023-04-26T07:21:03Z</dcterms:created>
  <dcterms:modified xsi:type="dcterms:W3CDTF">2024-02-09T09:10:02Z</dcterms:modified>
</cp:coreProperties>
</file>